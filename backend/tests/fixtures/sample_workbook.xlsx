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UIT3561" sheetId="1" state="visible" r:id="rId1"/>
    <sheet name="UIT3562" sheetId="2" state="visible" r:id="rId2"/>
    <sheet name="UIT3563" sheetId="3" state="visible" r:id="rId3"/>
    <sheet name="UIT3501" sheetId="4" state="visible" r:id="rId4"/>
    <sheet name="UIT3515" sheetId="5" state="visible" r:id="rId5"/>
    <sheet name="UIT3519" sheetId="6" state="visible" r:id="rId6"/>
    <sheet name="UIT3517" sheetId="7" state="visible" r:id="rId7"/>
    <sheet name="SUBJECT SUMMARY SHEET" sheetId="8" state="visible" r:id="rId8"/>
    <sheet name="STUDENT WISE SUMMARY SHEET" sheetId="9" state="visible" r:id="rId9"/>
    <sheet name="HGHG" sheetId="10" state="hidden" r:id="rId10"/>
    <sheet name="Open Elective" sheetId="11" state="hidden" r:id="rId11"/>
  </sheets>
  <definedNames>
    <definedName name="_xleta.COUNT" hidden="0" function="0" vbProcedure="0">#NAME?</definedName>
    <definedName name="_xleta.ODD" hidden="0" function="0" vbProcedure="0">#NAME?</definedName>
    <definedName name="_xlfn.ANCHORARRAY" hidden="0" function="0" vbProcedure="0">#NAME?</definedName>
    <definedName name="_xlfn.COUNTIFS" hidden="0" function="0" vbProcedure="0">#NAME?</definedName>
    <definedName name="_xlfn._ONEDARRAY" hidden="0" function="0" vbProcedure="0">#NAME?</definedName>
    <definedName name="_xlfn._SORT" hidden="0" function="0" vbProcedure="0">#NAME?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00\ 00\ 0000\ 000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2"/>
      <u val="single"/>
    </font>
    <font>
      <name val="Felix Titling"/>
      <charset val="1"/>
      <family val="0"/>
      <b val="1"/>
      <color theme="1"/>
      <sz val="12"/>
    </font>
    <font>
      <name val="Times New Roman"/>
      <charset val="1"/>
      <family val="0"/>
      <b val="1"/>
      <color theme="1"/>
      <sz val="12"/>
    </font>
    <font>
      <name val="Arial"/>
      <charset val="1"/>
      <family val="0"/>
      <b val="1"/>
      <color theme="1"/>
      <sz val="16"/>
    </font>
    <font>
      <name val="Arial"/>
      <charset val="1"/>
      <family val="0"/>
      <color theme="10"/>
      <sz val="10"/>
      <u val="single"/>
    </font>
    <font>
      <name val="Arial"/>
      <charset val="1"/>
      <family val="0"/>
      <color theme="1"/>
      <sz val="16"/>
    </font>
    <font>
      <name val="Arial"/>
      <charset val="1"/>
      <family val="0"/>
      <color rgb="FFFF0000"/>
      <sz val="18"/>
    </font>
    <font>
      <name val="Arial"/>
      <charset val="1"/>
      <family val="0"/>
      <b val="1"/>
      <color theme="1"/>
      <sz val="12"/>
    </font>
    <font>
      <name val="Arial"/>
      <charset val="1"/>
      <family val="0"/>
      <color theme="1"/>
      <sz val="10"/>
    </font>
    <font>
      <name val="Times New Roman"/>
      <charset val="1"/>
      <family val="0"/>
      <color theme="1"/>
      <sz val="12"/>
    </font>
    <font>
      <name val="Arial"/>
      <charset val="1"/>
      <family val="0"/>
      <color theme="1"/>
      <sz val="11"/>
    </font>
    <font>
      <name val="Arial"/>
      <charset val="1"/>
      <family val="0"/>
      <sz val="10"/>
    </font>
    <font>
      <name val="Arial"/>
      <charset val="1"/>
      <family val="0"/>
      <color rgb="FFFF0000"/>
      <sz val="10"/>
    </font>
    <font>
      <name val="Arial"/>
      <charset val="1"/>
      <family val="0"/>
      <b val="1"/>
      <color theme="1"/>
      <sz val="10"/>
    </font>
    <font>
      <name val="Aptos Narrow"/>
      <charset val="1"/>
      <family val="0"/>
      <color theme="1"/>
      <sz val="11"/>
    </font>
    <font>
      <name val="Cambria"/>
      <charset val="1"/>
      <family val="0"/>
      <color theme="1"/>
      <sz val="11"/>
    </font>
    <font>
      <name val="Times New Roman"/>
      <charset val="1"/>
      <family val="0"/>
      <b val="1"/>
      <color rgb="FF000000"/>
      <sz val="12"/>
    </font>
    <font>
      <name val="Arial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1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bottom"/>
    </xf>
    <xf numFmtId="0" fontId="12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general" vertical="center"/>
    </xf>
    <xf numFmtId="0" fontId="13" fillId="0" borderId="2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bottom"/>
    </xf>
    <xf numFmtId="0" fontId="12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bottom"/>
    </xf>
    <xf numFmtId="0" fontId="15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bottom"/>
    </xf>
    <xf numFmtId="0" fontId="12" fillId="0" borderId="3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bottom"/>
    </xf>
    <xf numFmtId="0" fontId="12" fillId="0" borderId="2" applyAlignment="1" pivotButton="0" quotePrefix="0" xfId="0">
      <alignment horizontal="general" vertical="bottom" wrapText="1"/>
    </xf>
    <xf numFmtId="0" fontId="16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 wrapText="1"/>
    </xf>
    <xf numFmtId="0" fontId="17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8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 wrapText="1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2" applyAlignment="1" pivotButton="0" quotePrefix="0" xfId="0">
      <alignment horizontal="right" vertical="bottom"/>
    </xf>
    <xf numFmtId="0" fontId="17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center" vertical="center"/>
    </xf>
    <xf numFmtId="1" fontId="20" fillId="0" borderId="2" applyAlignment="1" pivotButton="0" quotePrefix="0" xfId="0">
      <alignment horizontal="center" vertical="center"/>
    </xf>
    <xf numFmtId="1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0" fillId="0" borderId="1" pivotButton="0" quotePrefix="0" xfId="0"/>
    <xf numFmtId="0" fontId="11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bottom"/>
    </xf>
    <xf numFmtId="0" fontId="0" fillId="0" borderId="10" pivotButton="0" quotePrefix="0" xfId="0"/>
    <xf numFmtId="0" fontId="0" fillId="0" borderId="11" pivotButton="0" quotePrefix="0" xfId="0"/>
    <xf numFmtId="0" fontId="12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general" vertical="center"/>
    </xf>
    <xf numFmtId="0" fontId="13" fillId="0" borderId="2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bottom"/>
    </xf>
    <xf numFmtId="0" fontId="12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bottom" wrapText="1"/>
    </xf>
    <xf numFmtId="0" fontId="21" fillId="0" borderId="1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bottom"/>
    </xf>
    <xf numFmtId="0" fontId="12" fillId="0" borderId="3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12" fillId="0" borderId="2" applyAlignment="1" pivotButton="0" quotePrefix="0" xfId="0">
      <alignment horizontal="general" vertical="bottom" wrapText="1"/>
    </xf>
    <xf numFmtId="0" fontId="16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 wrapText="1"/>
    </xf>
    <xf numFmtId="0" fontId="17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8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 wrapText="1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4" fillId="0" borderId="2" applyAlignment="1" pivotButton="0" quotePrefix="0" xfId="0">
      <alignment horizontal="right" vertical="bottom"/>
    </xf>
    <xf numFmtId="0" fontId="17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center" vertical="center"/>
    </xf>
    <xf numFmtId="1" fontId="20" fillId="0" borderId="2" applyAlignment="1" pivotButton="0" quotePrefix="0" xfId="0">
      <alignment horizontal="center" vertical="center"/>
    </xf>
    <xf numFmtId="1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color rgb="FF800080"/>
      </font>
      <fill>
        <patternFill>
          <bgColor rgb="FFFF99CC"/>
        </patternFill>
      </fill>
    </dxf>
    <dxf>
      <fill>
        <patternFill>
          <bgColor rgb="FFA5A5A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ug2024-it@ssn.edu.in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mailto:ug2024-it@ssn.edu.in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ug2024-it@ssn.edu.in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mailto:ug2024-it@ssn.edu.in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mailto:ug2024-it@ssn.edu.in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mailto:ug2024-it@ssn.edu.in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mailto:ug2024-it@ssn.edu.in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K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8" customWidth="1" style="54" min="6" max="63"/>
    <col width="13" customWidth="1" style="55" min="10" max="10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ATTENDANCE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  <c r="AW5" s="60" t="inlineStr">
        <is>
          <t>Batch : 2024-28</t>
        </is>
      </c>
    </row>
    <row r="6" ht="10.5" customHeight="1" s="55">
      <c r="A6" s="58" t="n"/>
      <c r="B6" s="59" t="n"/>
      <c r="C6" s="59" t="n"/>
    </row>
    <row r="7" ht="28.5" customHeight="1" s="55">
      <c r="A7" s="61" t="inlineStr">
        <is>
          <t>Sub Code &amp; Sub Name : UIT3561 -Full Stack Web Development</t>
        </is>
      </c>
      <c r="AV7" s="62" t="inlineStr">
        <is>
          <t xml:space="preserve">ug2024-it@ssn.edu.in </t>
        </is>
      </c>
    </row>
    <row r="8" ht="30.75" customHeight="1" s="55">
      <c r="A8" s="63" t="inlineStr">
        <is>
          <t>Staff Name : Mr. Sankar Santhamoorthy(T) &amp; Dr. K. R. Uthayan</t>
        </is>
      </c>
      <c r="B8" s="63" t="n"/>
      <c r="C8" s="63" t="n"/>
      <c r="D8" s="63" t="n"/>
      <c r="E8" s="63" t="n"/>
    </row>
    <row r="9" ht="30.75" customHeight="1" s="55">
      <c r="A9" s="61" t="n"/>
      <c r="B9" s="61" t="n"/>
      <c r="C9" s="61" t="n"/>
      <c r="D9" s="61" t="n"/>
      <c r="E9" s="64" t="n"/>
      <c r="F9" s="65" t="inlineStr">
        <is>
          <t>Mark  "P" for presentees , "A" for absentees</t>
        </is>
      </c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</row>
    <row r="10" ht="30.75" customHeight="1" s="55">
      <c r="A10" s="61" t="n"/>
      <c r="B10" s="61" t="n"/>
      <c r="C10" s="61" t="n"/>
      <c r="D10" s="61" t="n"/>
      <c r="E10" s="64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</row>
    <row r="11" ht="30.75" customHeight="1" s="55">
      <c r="A11" s="67" t="inlineStr">
        <is>
          <t>S.No</t>
        </is>
      </c>
      <c r="B11" s="67" t="inlineStr">
        <is>
          <t>Digital Id</t>
        </is>
      </c>
      <c r="C11" s="67" t="inlineStr">
        <is>
          <t>Register Number</t>
        </is>
      </c>
      <c r="D11" s="67" t="inlineStr">
        <is>
          <t>Name as per 12th Mark Sheet</t>
        </is>
      </c>
      <c r="E11" s="67" t="inlineStr">
        <is>
          <t>SSN Email ID</t>
        </is>
      </c>
      <c r="F11" s="68" t="inlineStr">
        <is>
          <t>Date</t>
        </is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  <c r="AX11" s="69" t="n"/>
      <c r="AY11" s="69" t="n"/>
      <c r="AZ11" s="69" t="n"/>
      <c r="BA11" s="69" t="n"/>
      <c r="BB11" s="69" t="n"/>
      <c r="BC11" s="69" t="n"/>
      <c r="BD11" s="69" t="n"/>
      <c r="BE11" s="69" t="n"/>
      <c r="BF11" s="69" t="n"/>
      <c r="BG11" s="69" t="n"/>
      <c r="BH11" s="69" t="n"/>
      <c r="BI11" s="70" t="n"/>
      <c r="BJ11" s="71" t="n"/>
      <c r="BK11" s="71" t="n"/>
    </row>
    <row r="12" ht="31.5" customHeight="1" s="55">
      <c r="A12" s="72" t="n"/>
      <c r="B12" s="72" t="n"/>
      <c r="C12" s="72" t="n"/>
      <c r="D12" s="72" t="n"/>
      <c r="E12" s="72" t="n"/>
      <c r="F12" s="71" t="inlineStr">
        <is>
          <t>24/7/26</t>
        </is>
      </c>
      <c r="G12" s="71" t="inlineStr">
        <is>
          <t>24/7/26</t>
        </is>
      </c>
      <c r="H12" s="71" t="inlineStr">
        <is>
          <t>31/7/26</t>
        </is>
      </c>
      <c r="I12" s="71" t="inlineStr">
        <is>
          <t>31/7/26</t>
        </is>
      </c>
      <c r="J12" s="80" t="inlineStr">
        <is>
          <t>10/09/26           3rd Hour</t>
        </is>
      </c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 t="n"/>
      <c r="BJ12" s="71">
        <f>COUNTA(F12:BI12)</f>
        <v/>
      </c>
      <c r="BK12" s="71" t="n"/>
    </row>
    <row r="13" ht="21" customHeight="1" s="55">
      <c r="A13" s="73" t="n">
        <v>1</v>
      </c>
      <c r="B13" s="74" t="n">
        <v>2410606</v>
      </c>
      <c r="C13" s="75" t="n">
        <v>3122245002067</v>
      </c>
      <c r="D13" s="76" t="inlineStr">
        <is>
          <t>Pragalya T</t>
        </is>
      </c>
      <c r="E13" s="76" t="inlineStr">
        <is>
          <t>pragalya2410606@ssn.edu.in</t>
        </is>
      </c>
      <c r="F13" s="71" t="inlineStr">
        <is>
          <t>A</t>
        </is>
      </c>
      <c r="G13" s="71" t="inlineStr">
        <is>
          <t>A</t>
        </is>
      </c>
      <c r="H13" s="71" t="inlineStr">
        <is>
          <t>P</t>
        </is>
      </c>
      <c r="I13" s="71" t="inlineStr">
        <is>
          <t>P</t>
        </is>
      </c>
      <c r="J13" s="165" t="inlineStr">
        <is>
          <t>A</t>
        </is>
      </c>
      <c r="K13" s="71" t="n"/>
      <c r="L13" s="71" t="n"/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1" t="n"/>
      <c r="BF13" s="71" t="n"/>
      <c r="BG13" s="71" t="n"/>
      <c r="BH13" s="71" t="n"/>
      <c r="BI13" s="71" t="n"/>
      <c r="BJ13" s="71">
        <f>COUNTIF(F13:BI13,"P")</f>
        <v/>
      </c>
      <c r="BK13" s="71">
        <f>SUM((BJ13/BJ12)*100)</f>
        <v/>
      </c>
    </row>
    <row r="14" ht="21" customHeight="1" s="55">
      <c r="A14" s="73" t="n">
        <v>2</v>
      </c>
      <c r="B14" s="74" t="n">
        <v>2410674</v>
      </c>
      <c r="C14" s="75" t="n">
        <v>3122245002068</v>
      </c>
      <c r="D14" s="76" t="inlineStr">
        <is>
          <t>Praghathish G T</t>
        </is>
      </c>
      <c r="E14" s="76" t="inlineStr">
        <is>
          <t>praghathish2410674@ssn.edu.in</t>
        </is>
      </c>
      <c r="F14" s="71" t="inlineStr">
        <is>
          <t>A</t>
        </is>
      </c>
      <c r="G14" s="71" t="inlineStr">
        <is>
          <t>A</t>
        </is>
      </c>
      <c r="H14" s="71" t="inlineStr">
        <is>
          <t>P</t>
        </is>
      </c>
      <c r="I14" s="71" t="inlineStr">
        <is>
          <t>P</t>
        </is>
      </c>
      <c r="J14" s="165" t="inlineStr">
        <is>
          <t>P</t>
        </is>
      </c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1" t="n"/>
      <c r="BF14" s="71" t="n"/>
      <c r="BG14" s="71" t="n"/>
      <c r="BH14" s="71" t="n"/>
      <c r="BI14" s="71" t="n"/>
      <c r="BJ14" s="71">
        <f>COUNTIF(F14:BI14,"P")</f>
        <v/>
      </c>
      <c r="BK14" s="71">
        <f>SUM((BJ14/BJ12)*100)</f>
        <v/>
      </c>
    </row>
    <row r="15" ht="21" customHeight="1" s="55">
      <c r="A15" s="73" t="n">
        <v>3</v>
      </c>
      <c r="B15" s="74" t="n">
        <v>2410080</v>
      </c>
      <c r="C15" s="75" t="n">
        <v>3122245002069</v>
      </c>
      <c r="D15" s="76" t="inlineStr">
        <is>
          <t>Pranav C K</t>
        </is>
      </c>
      <c r="E15" s="76" t="inlineStr">
        <is>
          <t>pranav2410080@ssn.edu.in</t>
        </is>
      </c>
      <c r="F15" s="71" t="inlineStr">
        <is>
          <t>A</t>
        </is>
      </c>
      <c r="G15" s="71" t="inlineStr">
        <is>
          <t>A</t>
        </is>
      </c>
      <c r="H15" s="71" t="inlineStr">
        <is>
          <t>A</t>
        </is>
      </c>
      <c r="I15" s="71" t="inlineStr">
        <is>
          <t>A</t>
        </is>
      </c>
      <c r="J15" s="165" t="inlineStr">
        <is>
          <t>P</t>
        </is>
      </c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1" t="n"/>
      <c r="BF15" s="71" t="n"/>
      <c r="BG15" s="71" t="n"/>
      <c r="BH15" s="71" t="n"/>
      <c r="BI15" s="71" t="n"/>
      <c r="BJ15" s="71">
        <f>COUNTIF(F15:BI15,"P")</f>
        <v/>
      </c>
      <c r="BK15" s="71">
        <f>SUM((BJ15/BJ12)*100)</f>
        <v/>
      </c>
    </row>
    <row r="16" ht="21" customHeight="1" s="55">
      <c r="A16" s="73" t="n">
        <v>4</v>
      </c>
      <c r="B16" s="74" t="n">
        <v>2410328</v>
      </c>
      <c r="C16" s="75" t="n">
        <v>3122245002070</v>
      </c>
      <c r="D16" s="76" t="inlineStr">
        <is>
          <t>Pranav Vasudevan</t>
        </is>
      </c>
      <c r="E16" s="76" t="inlineStr">
        <is>
          <t>pranav2410328@ssn.edu.in</t>
        </is>
      </c>
      <c r="F16" s="71" t="inlineStr">
        <is>
          <t>P</t>
        </is>
      </c>
      <c r="G16" s="71" t="inlineStr">
        <is>
          <t>P</t>
        </is>
      </c>
      <c r="H16" s="71" t="inlineStr">
        <is>
          <t>A</t>
        </is>
      </c>
      <c r="I16" s="71" t="inlineStr">
        <is>
          <t>A</t>
        </is>
      </c>
      <c r="J16" s="165" t="inlineStr">
        <is>
          <t>P</t>
        </is>
      </c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1" t="n"/>
      <c r="BF16" s="71" t="n"/>
      <c r="BG16" s="71" t="n"/>
      <c r="BH16" s="71" t="n"/>
      <c r="BI16" s="71" t="n"/>
      <c r="BJ16" s="71">
        <f>COUNTIF(F16:BI16,"P")</f>
        <v/>
      </c>
      <c r="BK16" s="71">
        <f>SUM((BJ16/BJ12)*100)</f>
        <v/>
      </c>
    </row>
    <row r="17" ht="21" customHeight="1" s="55">
      <c r="A17" s="73" t="n">
        <v>5</v>
      </c>
      <c r="B17" s="74" t="n">
        <v>2410738</v>
      </c>
      <c r="C17" s="75" t="n">
        <v>3122245002071</v>
      </c>
      <c r="D17" s="76" t="inlineStr">
        <is>
          <t>Radhakrishnan M</t>
        </is>
      </c>
      <c r="E17" s="76" t="inlineStr">
        <is>
          <t>radhakrishnan2410738@ssn.edu.in</t>
        </is>
      </c>
      <c r="F17" s="71" t="inlineStr">
        <is>
          <t>P</t>
        </is>
      </c>
      <c r="G17" s="71" t="inlineStr">
        <is>
          <t>P</t>
        </is>
      </c>
      <c r="H17" s="71" t="inlineStr">
        <is>
          <t>A</t>
        </is>
      </c>
      <c r="I17" s="71" t="inlineStr">
        <is>
          <t>A</t>
        </is>
      </c>
      <c r="J17" s="165" t="inlineStr">
        <is>
          <t>P</t>
        </is>
      </c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1" t="n"/>
      <c r="BF17" s="71" t="n"/>
      <c r="BG17" s="71" t="n"/>
      <c r="BH17" s="71" t="n"/>
      <c r="BI17" s="71" t="n"/>
      <c r="BJ17" s="71">
        <f>COUNTIF(F17:BI17,"P")</f>
        <v/>
      </c>
      <c r="BK17" s="71">
        <f>SUM((BJ17/BJ12)*100)</f>
        <v/>
      </c>
    </row>
    <row r="18" ht="21" customHeight="1" s="55">
      <c r="A18" s="73" t="n">
        <v>6</v>
      </c>
      <c r="B18" s="74" t="n">
        <v>2410786</v>
      </c>
      <c r="C18" s="75" t="n">
        <v>3122245002072</v>
      </c>
      <c r="D18" s="76" t="inlineStr">
        <is>
          <t>Raghul Krishna V</t>
        </is>
      </c>
      <c r="E18" s="76" t="inlineStr">
        <is>
          <t>raghulkrishna2410786@ssn.edu.in</t>
        </is>
      </c>
      <c r="F18" s="71" t="inlineStr">
        <is>
          <t>A</t>
        </is>
      </c>
      <c r="G18" s="71" t="inlineStr">
        <is>
          <t>A</t>
        </is>
      </c>
      <c r="H18" s="71" t="inlineStr">
        <is>
          <t>A</t>
        </is>
      </c>
      <c r="I18" s="71" t="inlineStr">
        <is>
          <t>A</t>
        </is>
      </c>
      <c r="J18" s="165" t="inlineStr">
        <is>
          <t>P</t>
        </is>
      </c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1" t="n"/>
      <c r="BF18" s="71" t="n"/>
      <c r="BG18" s="71" t="n"/>
      <c r="BH18" s="71" t="n"/>
      <c r="BI18" s="71" t="n"/>
      <c r="BJ18" s="71">
        <f>COUNTIF(F18:BI18,"P")</f>
        <v/>
      </c>
      <c r="BK18" s="71">
        <f>SUM((BJ18/BJ12)*100)</f>
        <v/>
      </c>
    </row>
    <row r="19" ht="21" customHeight="1" s="55">
      <c r="A19" s="73" t="n">
        <v>7</v>
      </c>
      <c r="B19" s="74" t="n">
        <v>2410441</v>
      </c>
      <c r="C19" s="75" t="n">
        <v>3122245002073</v>
      </c>
      <c r="D19" s="76" t="inlineStr">
        <is>
          <t>Ragul A</t>
        </is>
      </c>
      <c r="E19" s="76" t="inlineStr">
        <is>
          <t>ragul2410441@ssn.edu.in</t>
        </is>
      </c>
      <c r="F19" s="71" t="inlineStr">
        <is>
          <t>A</t>
        </is>
      </c>
      <c r="G19" s="71" t="inlineStr">
        <is>
          <t>A</t>
        </is>
      </c>
      <c r="H19" s="71" t="inlineStr">
        <is>
          <t>P</t>
        </is>
      </c>
      <c r="I19" s="71" t="inlineStr">
        <is>
          <t>P</t>
        </is>
      </c>
      <c r="J19" s="165" t="inlineStr">
        <is>
          <t>P</t>
        </is>
      </c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1" t="n"/>
      <c r="BF19" s="71" t="n"/>
      <c r="BG19" s="71" t="n"/>
      <c r="BH19" s="71" t="n"/>
      <c r="BI19" s="71" t="n"/>
      <c r="BJ19" s="71">
        <f>COUNTIF(F19:BI19,"P")</f>
        <v/>
      </c>
      <c r="BK19" s="71">
        <f>SUM((BJ19/BJ12)*100)</f>
        <v/>
      </c>
    </row>
    <row r="20" ht="21" customHeight="1" s="55">
      <c r="A20" s="73" t="n">
        <v>8</v>
      </c>
      <c r="B20" s="74" t="n">
        <v>2410834</v>
      </c>
      <c r="C20" s="75" t="n">
        <v>3122245002074</v>
      </c>
      <c r="D20" s="76" t="inlineStr">
        <is>
          <t>Ragunandhan M</t>
        </is>
      </c>
      <c r="E20" s="76" t="inlineStr">
        <is>
          <t>ragunandhan2410834@ssn.edu.in</t>
        </is>
      </c>
      <c r="F20" s="71" t="inlineStr">
        <is>
          <t>P</t>
        </is>
      </c>
      <c r="G20" s="71" t="inlineStr">
        <is>
          <t>P</t>
        </is>
      </c>
      <c r="H20" s="71" t="inlineStr">
        <is>
          <t>P</t>
        </is>
      </c>
      <c r="I20" s="71" t="inlineStr">
        <is>
          <t>P</t>
        </is>
      </c>
      <c r="J20" s="165" t="inlineStr">
        <is>
          <t>P</t>
        </is>
      </c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 t="n"/>
      <c r="BJ20" s="71">
        <f>COUNTIF(F20:BI20,"P")</f>
        <v/>
      </c>
      <c r="BK20" s="71">
        <f>SUM((BJ20/BJ12)*100)</f>
        <v/>
      </c>
    </row>
    <row r="21" ht="21" customHeight="1" s="55">
      <c r="A21" s="73" t="n">
        <v>9</v>
      </c>
      <c r="B21" s="74" t="n">
        <v>2410098</v>
      </c>
      <c r="C21" s="75" t="n">
        <v>3122245002075</v>
      </c>
      <c r="D21" s="76" t="inlineStr">
        <is>
          <t>Rajkumar M</t>
        </is>
      </c>
      <c r="E21" s="76" t="inlineStr">
        <is>
          <t>rajkumar2410098@ssn.edu.in</t>
        </is>
      </c>
      <c r="F21" s="71" t="inlineStr">
        <is>
          <t>A</t>
        </is>
      </c>
      <c r="G21" s="71" t="inlineStr">
        <is>
          <t>A</t>
        </is>
      </c>
      <c r="H21" s="71" t="inlineStr">
        <is>
          <t>P</t>
        </is>
      </c>
      <c r="I21" s="71" t="inlineStr">
        <is>
          <t>P</t>
        </is>
      </c>
      <c r="J21" s="165" t="inlineStr">
        <is>
          <t>P</t>
        </is>
      </c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 t="n"/>
      <c r="BJ21" s="71">
        <f>COUNTIF(F21:BI21,"P")</f>
        <v/>
      </c>
      <c r="BK21" s="71">
        <f>SUM((BJ21/BJ12)*100)</f>
        <v/>
      </c>
    </row>
    <row r="22" ht="21" customHeight="1" s="55">
      <c r="A22" s="73" t="n">
        <v>10</v>
      </c>
      <c r="B22" s="74" t="n">
        <v>2410632</v>
      </c>
      <c r="C22" s="75" t="n">
        <v>3122245002076</v>
      </c>
      <c r="D22" s="76" t="inlineStr">
        <is>
          <t>Ramakrishnan M R</t>
        </is>
      </c>
      <c r="E22" s="76" t="inlineStr">
        <is>
          <t>ramakrishnan2410632@ssn.edu.in</t>
        </is>
      </c>
      <c r="F22" s="71" t="inlineStr">
        <is>
          <t>A</t>
        </is>
      </c>
      <c r="G22" s="71" t="inlineStr">
        <is>
          <t>A</t>
        </is>
      </c>
      <c r="H22" s="71" t="inlineStr">
        <is>
          <t>P</t>
        </is>
      </c>
      <c r="I22" s="71" t="inlineStr">
        <is>
          <t>P</t>
        </is>
      </c>
      <c r="J22" s="165" t="inlineStr">
        <is>
          <t>P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1" t="n"/>
      <c r="BF22" s="71" t="n"/>
      <c r="BG22" s="71" t="n"/>
      <c r="BH22" s="71" t="n"/>
      <c r="BI22" s="71" t="n"/>
      <c r="BJ22" s="71">
        <f>COUNTIF(F22:BI22,"P")</f>
        <v/>
      </c>
      <c r="BK22" s="71">
        <f>SUM((BJ22/BJ12)*100)</f>
        <v/>
      </c>
    </row>
    <row r="23" ht="21" customHeight="1" s="55">
      <c r="A23" s="73" t="n">
        <v>11</v>
      </c>
      <c r="B23" s="74" t="n">
        <v>2410313</v>
      </c>
      <c r="C23" s="75" t="n">
        <v>3122245002077</v>
      </c>
      <c r="D23" s="76" t="inlineStr">
        <is>
          <t>Raveena V K</t>
        </is>
      </c>
      <c r="E23" s="76" t="inlineStr">
        <is>
          <t>raveena2410313@ssn.edu.in</t>
        </is>
      </c>
      <c r="F23" s="71" t="inlineStr">
        <is>
          <t>A</t>
        </is>
      </c>
      <c r="G23" s="71" t="inlineStr">
        <is>
          <t>A</t>
        </is>
      </c>
      <c r="H23" s="71" t="inlineStr">
        <is>
          <t>A</t>
        </is>
      </c>
      <c r="I23" s="71" t="inlineStr">
        <is>
          <t>A</t>
        </is>
      </c>
      <c r="J23" s="165" t="inlineStr">
        <is>
          <t>P</t>
        </is>
      </c>
      <c r="K23" s="71" t="n"/>
      <c r="L23" s="71" t="n"/>
      <c r="M23" s="7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71" t="n"/>
      <c r="AW23" s="71" t="n"/>
      <c r="AX23" s="71" t="n"/>
      <c r="AY23" s="71" t="n"/>
      <c r="AZ23" s="71" t="n"/>
      <c r="BA23" s="71" t="n"/>
      <c r="BB23" s="71" t="n"/>
      <c r="BC23" s="71" t="n"/>
      <c r="BD23" s="71" t="n"/>
      <c r="BE23" s="71" t="n"/>
      <c r="BF23" s="71" t="n"/>
      <c r="BG23" s="71" t="n"/>
      <c r="BH23" s="71" t="n"/>
      <c r="BI23" s="71" t="n"/>
      <c r="BJ23" s="71">
        <f>COUNTIF(F23:BI23,"P")</f>
        <v/>
      </c>
      <c r="BK23" s="71">
        <f>SUM((BJ23/BJ12)*100)</f>
        <v/>
      </c>
    </row>
    <row r="24" ht="21" customHeight="1" s="55">
      <c r="A24" s="73" t="n">
        <v>12</v>
      </c>
      <c r="B24" s="74" t="n">
        <v>2410581</v>
      </c>
      <c r="C24" s="75" t="n">
        <v>3122245002078</v>
      </c>
      <c r="D24" s="76" t="inlineStr">
        <is>
          <t>Ridhi R</t>
        </is>
      </c>
      <c r="E24" s="76" t="inlineStr">
        <is>
          <t>ridhi2410581@ssn.edu.in</t>
        </is>
      </c>
      <c r="F24" s="71" t="inlineStr">
        <is>
          <t>A</t>
        </is>
      </c>
      <c r="G24" s="71" t="inlineStr">
        <is>
          <t>A</t>
        </is>
      </c>
      <c r="H24" s="71" t="inlineStr">
        <is>
          <t>P</t>
        </is>
      </c>
      <c r="I24" s="71" t="inlineStr">
        <is>
          <t>P</t>
        </is>
      </c>
      <c r="J24" s="165" t="inlineStr">
        <is>
          <t>P</t>
        </is>
      </c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71" t="n"/>
      <c r="AW24" s="71" t="n"/>
      <c r="AX24" s="71" t="n"/>
      <c r="AY24" s="71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 t="n"/>
      <c r="BJ24" s="71">
        <f>COUNTIF(F24:BI24,"P")</f>
        <v/>
      </c>
      <c r="BK24" s="71">
        <f>SUM((BJ24/BJ12)*100)</f>
        <v/>
      </c>
    </row>
    <row r="25" ht="21" customHeight="1" s="55">
      <c r="A25" s="73" t="n">
        <v>13</v>
      </c>
      <c r="B25" s="74" t="n">
        <v>2410343</v>
      </c>
      <c r="C25" s="75" t="n">
        <v>3122245002079</v>
      </c>
      <c r="D25" s="76" t="inlineStr">
        <is>
          <t>Rishikumar Pitchiah Kalyanakumar</t>
        </is>
      </c>
      <c r="E25" s="76" t="inlineStr">
        <is>
          <t>rishikumar2410343@ssn.edu.in</t>
        </is>
      </c>
      <c r="F25" s="71" t="inlineStr">
        <is>
          <t>P</t>
        </is>
      </c>
      <c r="G25" s="71" t="inlineStr">
        <is>
          <t>P</t>
        </is>
      </c>
      <c r="H25" s="71" t="inlineStr">
        <is>
          <t>P</t>
        </is>
      </c>
      <c r="I25" s="71" t="inlineStr">
        <is>
          <t>P</t>
        </is>
      </c>
      <c r="J25" s="165" t="inlineStr">
        <is>
          <t>P</t>
        </is>
      </c>
      <c r="K25" s="71" t="n"/>
      <c r="L25" s="71" t="n"/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71" t="n"/>
      <c r="AW25" s="71" t="n"/>
      <c r="AX25" s="71" t="n"/>
      <c r="AY25" s="71" t="n"/>
      <c r="AZ25" s="71" t="n"/>
      <c r="BA25" s="71" t="n"/>
      <c r="BB25" s="71" t="n"/>
      <c r="BC25" s="71" t="n"/>
      <c r="BD25" s="71" t="n"/>
      <c r="BE25" s="71" t="n"/>
      <c r="BF25" s="71" t="n"/>
      <c r="BG25" s="71" t="n"/>
      <c r="BH25" s="71" t="n"/>
      <c r="BI25" s="71" t="n"/>
      <c r="BJ25" s="71">
        <f>COUNTIF(F25:BI25,"P")</f>
        <v/>
      </c>
      <c r="BK25" s="71">
        <f>SUM((BJ25/BJ12)*100)</f>
        <v/>
      </c>
    </row>
    <row r="26" ht="21" customHeight="1" s="55">
      <c r="A26" s="73" t="n">
        <v>14</v>
      </c>
      <c r="B26" s="74" t="n">
        <v>2410308</v>
      </c>
      <c r="C26" s="75" t="n">
        <v>3122245002080</v>
      </c>
      <c r="D26" s="76" t="inlineStr">
        <is>
          <t>Rithin Asvathama V</t>
        </is>
      </c>
      <c r="E26" s="76" t="inlineStr">
        <is>
          <t>rithinasvathama2410308@ssn.edu.in</t>
        </is>
      </c>
      <c r="F26" s="71" t="inlineStr">
        <is>
          <t>P</t>
        </is>
      </c>
      <c r="G26" s="71" t="inlineStr">
        <is>
          <t>P</t>
        </is>
      </c>
      <c r="H26" s="71" t="inlineStr">
        <is>
          <t>A</t>
        </is>
      </c>
      <c r="I26" s="71" t="inlineStr">
        <is>
          <t>A</t>
        </is>
      </c>
      <c r="J26" s="165" t="inlineStr">
        <is>
          <t>A</t>
        </is>
      </c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 t="n"/>
      <c r="BJ26" s="71">
        <f>COUNTIF(F26:BI26,"P")</f>
        <v/>
      </c>
      <c r="BK26" s="71">
        <f>SUM((BJ26/BJ12)*100)</f>
        <v/>
      </c>
    </row>
    <row r="27" ht="21" customHeight="1" s="55">
      <c r="A27" s="73" t="n">
        <v>15</v>
      </c>
      <c r="B27" s="74" t="n">
        <v>2410445</v>
      </c>
      <c r="C27" s="75" t="n">
        <v>3122245002081</v>
      </c>
      <c r="D27" s="76" t="inlineStr">
        <is>
          <t>Ritvik Kumar T</t>
        </is>
      </c>
      <c r="E27" s="76" t="inlineStr">
        <is>
          <t>ritvikkumar2410445@ssn.edu.in</t>
        </is>
      </c>
      <c r="F27" s="71" t="inlineStr">
        <is>
          <t>P</t>
        </is>
      </c>
      <c r="G27" s="71" t="inlineStr">
        <is>
          <t>P</t>
        </is>
      </c>
      <c r="H27" s="71" t="inlineStr">
        <is>
          <t>P</t>
        </is>
      </c>
      <c r="I27" s="71" t="inlineStr">
        <is>
          <t>P</t>
        </is>
      </c>
      <c r="J27" s="165" t="inlineStr">
        <is>
          <t>P</t>
        </is>
      </c>
      <c r="K27" s="71" t="n"/>
      <c r="L27" s="71" t="n"/>
      <c r="M27" s="71" t="n"/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>
        <f>COUNTIF(F27:BI27,"P")</f>
        <v/>
      </c>
      <c r="BK27" s="71">
        <f>SUM((BJ27/BJ12)*100)</f>
        <v/>
      </c>
    </row>
    <row r="28" ht="21" customHeight="1" s="55">
      <c r="A28" s="73" t="n">
        <v>16</v>
      </c>
      <c r="B28" s="74" t="n">
        <v>2410230</v>
      </c>
      <c r="C28" s="75" t="n">
        <v>3122245002082</v>
      </c>
      <c r="D28" s="76" t="inlineStr">
        <is>
          <t>Roja Sri R</t>
        </is>
      </c>
      <c r="E28" s="76" t="inlineStr">
        <is>
          <t>rojasri2410230@ssn.edu.in</t>
        </is>
      </c>
      <c r="F28" s="71" t="inlineStr">
        <is>
          <t>A</t>
        </is>
      </c>
      <c r="G28" s="71" t="inlineStr">
        <is>
          <t>A</t>
        </is>
      </c>
      <c r="H28" s="71" t="inlineStr">
        <is>
          <t>P</t>
        </is>
      </c>
      <c r="I28" s="71" t="inlineStr">
        <is>
          <t>P</t>
        </is>
      </c>
      <c r="J28" s="165" t="inlineStr">
        <is>
          <t>P</t>
        </is>
      </c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>
        <f>COUNTIF(F28:BI28,"P")</f>
        <v/>
      </c>
      <c r="BK28" s="71">
        <f>SUM((BJ28/BJ12)*100)</f>
        <v/>
      </c>
    </row>
    <row r="29" ht="21" customHeight="1" s="55">
      <c r="A29" s="73" t="n">
        <v>17</v>
      </c>
      <c r="B29" s="74" t="n">
        <v>2410331</v>
      </c>
      <c r="C29" s="75" t="n">
        <v>3122245002083</v>
      </c>
      <c r="D29" s="76" t="inlineStr">
        <is>
          <t>Rovena Madharasi I</t>
        </is>
      </c>
      <c r="E29" s="76" t="inlineStr">
        <is>
          <t>rovenamadharasi2410331@ssn.edu.in</t>
        </is>
      </c>
      <c r="F29" s="71" t="inlineStr">
        <is>
          <t>P</t>
        </is>
      </c>
      <c r="G29" s="71" t="inlineStr">
        <is>
          <t>P</t>
        </is>
      </c>
      <c r="H29" s="71" t="inlineStr">
        <is>
          <t>P</t>
        </is>
      </c>
      <c r="I29" s="71" t="inlineStr">
        <is>
          <t>P</t>
        </is>
      </c>
      <c r="J29" s="165" t="inlineStr">
        <is>
          <t>P</t>
        </is>
      </c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>
        <f>COUNTIF(F29:BI29,"P")</f>
        <v/>
      </c>
      <c r="BK29" s="71">
        <f>SUM((BJ29/BJ12)*100)</f>
        <v/>
      </c>
    </row>
    <row r="30" ht="21" customHeight="1" s="55">
      <c r="A30" s="73" t="n">
        <v>18</v>
      </c>
      <c r="B30" s="74" t="n">
        <v>2410229</v>
      </c>
      <c r="C30" s="75" t="n">
        <v>3122245002084</v>
      </c>
      <c r="D30" s="76" t="inlineStr">
        <is>
          <t>Sabarish S B</t>
        </is>
      </c>
      <c r="E30" s="76" t="inlineStr">
        <is>
          <t>sabarish2410229@ssn.edu.in</t>
        </is>
      </c>
      <c r="F30" s="71" t="inlineStr">
        <is>
          <t>A</t>
        </is>
      </c>
      <c r="G30" s="71" t="inlineStr">
        <is>
          <t>A</t>
        </is>
      </c>
      <c r="H30" s="71" t="inlineStr">
        <is>
          <t>A</t>
        </is>
      </c>
      <c r="I30" s="71" t="inlineStr">
        <is>
          <t>A</t>
        </is>
      </c>
      <c r="J30" s="165" t="inlineStr">
        <is>
          <t>P</t>
        </is>
      </c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>
        <f>COUNTIF(F30:BI30,"P")</f>
        <v/>
      </c>
      <c r="BK30" s="71">
        <f>SUM((BJ30/BJ12)*100)</f>
        <v/>
      </c>
    </row>
    <row r="31" ht="21" customHeight="1" s="55">
      <c r="A31" s="73" t="n">
        <v>19</v>
      </c>
      <c r="B31" s="74" t="n">
        <v>2410984</v>
      </c>
      <c r="C31" s="75" t="n">
        <v>3122245002085</v>
      </c>
      <c r="D31" s="76" t="inlineStr">
        <is>
          <t>Sahana A</t>
        </is>
      </c>
      <c r="E31" s="76" t="inlineStr">
        <is>
          <t>sahana2410984@ssn.edu.in</t>
        </is>
      </c>
      <c r="F31" s="71" t="inlineStr">
        <is>
          <t>P</t>
        </is>
      </c>
      <c r="G31" s="71" t="inlineStr">
        <is>
          <t>P</t>
        </is>
      </c>
      <c r="H31" s="71" t="inlineStr">
        <is>
          <t>P</t>
        </is>
      </c>
      <c r="I31" s="71" t="inlineStr">
        <is>
          <t>P</t>
        </is>
      </c>
      <c r="J31" s="165" t="inlineStr">
        <is>
          <t>P</t>
        </is>
      </c>
      <c r="K31" s="71" t="n"/>
      <c r="L31" s="71" t="n"/>
      <c r="M31" s="7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 t="n"/>
      <c r="BJ31" s="71">
        <f>COUNTIF(F31:BI31,"P")</f>
        <v/>
      </c>
      <c r="BK31" s="71">
        <f>SUM((BJ31/BJ12)*100)</f>
        <v/>
      </c>
    </row>
    <row r="32" ht="21" customHeight="1" s="55">
      <c r="A32" s="73" t="n">
        <v>20</v>
      </c>
      <c r="B32" s="74" t="n">
        <v>2410091</v>
      </c>
      <c r="C32" s="75" t="n">
        <v>3122245002086</v>
      </c>
      <c r="D32" s="76" t="inlineStr">
        <is>
          <t>Sandhya B</t>
        </is>
      </c>
      <c r="E32" s="76" t="inlineStr">
        <is>
          <t>sandhya2410091@ssn.edu.in</t>
        </is>
      </c>
      <c r="F32" s="71" t="inlineStr">
        <is>
          <t>A</t>
        </is>
      </c>
      <c r="G32" s="71" t="inlineStr">
        <is>
          <t>A</t>
        </is>
      </c>
      <c r="H32" s="71" t="inlineStr">
        <is>
          <t>P</t>
        </is>
      </c>
      <c r="I32" s="71" t="inlineStr">
        <is>
          <t>P</t>
        </is>
      </c>
      <c r="J32" s="165" t="inlineStr">
        <is>
          <t>P</t>
        </is>
      </c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 t="n"/>
      <c r="BJ32" s="71">
        <f>COUNTIF(F32:BI32,"P")</f>
        <v/>
      </c>
      <c r="BK32" s="71">
        <f>SUM((BJ32/BJ12)*100)</f>
        <v/>
      </c>
    </row>
    <row r="33" ht="21" customHeight="1" s="55">
      <c r="A33" s="73" t="n">
        <v>21</v>
      </c>
      <c r="B33" s="74" t="n">
        <v>2410706</v>
      </c>
      <c r="C33" s="75" t="n">
        <v>3122245002087</v>
      </c>
      <c r="D33" s="76" t="inlineStr">
        <is>
          <t>Sandhya S</t>
        </is>
      </c>
      <c r="E33" s="76" t="inlineStr">
        <is>
          <t>sandhya2410706@ssn.edu.in</t>
        </is>
      </c>
      <c r="F33" s="71" t="inlineStr">
        <is>
          <t>A</t>
        </is>
      </c>
      <c r="G33" s="71" t="inlineStr">
        <is>
          <t>A</t>
        </is>
      </c>
      <c r="H33" s="71" t="inlineStr">
        <is>
          <t>P</t>
        </is>
      </c>
      <c r="I33" s="71" t="inlineStr">
        <is>
          <t>P</t>
        </is>
      </c>
      <c r="J33" s="165" t="inlineStr">
        <is>
          <t>P</t>
        </is>
      </c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 t="n"/>
      <c r="BJ33" s="71">
        <f>COUNTIF(F33:BI33,"P")</f>
        <v/>
      </c>
      <c r="BK33" s="71">
        <f>SUM((BJ33/BJ12)*100)</f>
        <v/>
      </c>
    </row>
    <row r="34" ht="21" customHeight="1" s="55">
      <c r="A34" s="73" t="n">
        <v>22</v>
      </c>
      <c r="B34" s="74" t="n">
        <v>2410778</v>
      </c>
      <c r="C34" s="75" t="n">
        <v>3122245002088</v>
      </c>
      <c r="D34" s="76" t="inlineStr">
        <is>
          <t>Sangaraju Sathwik</t>
        </is>
      </c>
      <c r="E34" s="76" t="inlineStr">
        <is>
          <t>sangaraju2410778@ssn.edu.in</t>
        </is>
      </c>
      <c r="F34" s="71" t="inlineStr">
        <is>
          <t>A</t>
        </is>
      </c>
      <c r="G34" s="71" t="inlineStr">
        <is>
          <t>A</t>
        </is>
      </c>
      <c r="H34" s="71" t="inlineStr">
        <is>
          <t>A</t>
        </is>
      </c>
      <c r="I34" s="71" t="inlineStr">
        <is>
          <t>A</t>
        </is>
      </c>
      <c r="J34" s="165" t="inlineStr">
        <is>
          <t>P</t>
        </is>
      </c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 t="n"/>
      <c r="BJ34" s="71">
        <f>COUNTIF(F34:BI34,"P")</f>
        <v/>
      </c>
      <c r="BK34" s="71">
        <f>SUM((BJ34/BJ12)*100)</f>
        <v/>
      </c>
    </row>
    <row r="35" ht="21" customHeight="1" s="55">
      <c r="A35" s="73" t="n">
        <v>23</v>
      </c>
      <c r="B35" s="74" t="n">
        <v>2410162</v>
      </c>
      <c r="C35" s="75" t="n">
        <v>3122245002089</v>
      </c>
      <c r="D35" s="76" t="inlineStr">
        <is>
          <t>Sanjana Shankar</t>
        </is>
      </c>
      <c r="E35" s="76" t="inlineStr">
        <is>
          <t>sanjana2410162@ssn.edu.in</t>
        </is>
      </c>
      <c r="F35" s="71" t="inlineStr">
        <is>
          <t>A</t>
        </is>
      </c>
      <c r="G35" s="71" t="inlineStr">
        <is>
          <t>A</t>
        </is>
      </c>
      <c r="H35" s="71" t="inlineStr">
        <is>
          <t>A</t>
        </is>
      </c>
      <c r="I35" s="71" t="inlineStr">
        <is>
          <t>A</t>
        </is>
      </c>
      <c r="J35" s="165" t="inlineStr">
        <is>
          <t>P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 t="n"/>
      <c r="BJ35" s="71">
        <f>COUNTIF(F35:BI35,"P")</f>
        <v/>
      </c>
      <c r="BK35" s="71">
        <f>SUM((BJ35/BJ12)*100)</f>
        <v/>
      </c>
    </row>
    <row r="36" ht="21" customHeight="1" s="55">
      <c r="A36" s="73" t="n">
        <v>24</v>
      </c>
      <c r="B36" s="74" t="n">
        <v>2410514</v>
      </c>
      <c r="C36" s="75" t="n">
        <v>3122245002090</v>
      </c>
      <c r="D36" s="76" t="inlineStr">
        <is>
          <t>Sanjay J</t>
        </is>
      </c>
      <c r="E36" s="76" t="inlineStr">
        <is>
          <t>sanjay2410514@ssn.edu.in</t>
        </is>
      </c>
      <c r="F36" s="71" t="inlineStr">
        <is>
          <t>A</t>
        </is>
      </c>
      <c r="G36" s="71" t="inlineStr">
        <is>
          <t>A</t>
        </is>
      </c>
      <c r="H36" s="71" t="inlineStr">
        <is>
          <t>A</t>
        </is>
      </c>
      <c r="I36" s="71" t="inlineStr">
        <is>
          <t>A</t>
        </is>
      </c>
      <c r="J36" s="165" t="inlineStr">
        <is>
          <t>P</t>
        </is>
      </c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 t="n"/>
      <c r="BJ36" s="71">
        <f>COUNTIF(F36:BI36,"P")</f>
        <v/>
      </c>
      <c r="BK36" s="71">
        <f>SUM((BJ36/BJ12)*100)</f>
        <v/>
      </c>
    </row>
    <row r="37" ht="21" customHeight="1" s="55">
      <c r="A37" s="73" t="n">
        <v>25</v>
      </c>
      <c r="B37" s="74" t="n">
        <v>2410068</v>
      </c>
      <c r="C37" s="75" t="n">
        <v>3122245002091</v>
      </c>
      <c r="D37" s="76" t="inlineStr">
        <is>
          <t>Sanjay Raam S</t>
        </is>
      </c>
      <c r="E37" s="76" t="inlineStr">
        <is>
          <t>sanjayraam2410068@ssn.edu.in</t>
        </is>
      </c>
      <c r="F37" s="71" t="inlineStr">
        <is>
          <t>P</t>
        </is>
      </c>
      <c r="G37" s="71" t="inlineStr">
        <is>
          <t>P</t>
        </is>
      </c>
      <c r="H37" s="71" t="inlineStr">
        <is>
          <t>A</t>
        </is>
      </c>
      <c r="I37" s="71" t="inlineStr">
        <is>
          <t>A</t>
        </is>
      </c>
      <c r="J37" s="165" t="inlineStr">
        <is>
          <t>P</t>
        </is>
      </c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 t="n"/>
      <c r="BJ37" s="71">
        <f>COUNTIF(F37:BI37,"P")</f>
        <v/>
      </c>
      <c r="BK37" s="71">
        <f>SUM((BJ37/BJ12)*100)</f>
        <v/>
      </c>
    </row>
    <row r="38" ht="21" customHeight="1" s="55">
      <c r="A38" s="73" t="n">
        <v>26</v>
      </c>
      <c r="B38" s="74" t="n">
        <v>2410185</v>
      </c>
      <c r="C38" s="75" t="n">
        <v>3122245002092</v>
      </c>
      <c r="D38" s="76" t="inlineStr">
        <is>
          <t>Sanjay T</t>
        </is>
      </c>
      <c r="E38" s="76" t="inlineStr">
        <is>
          <t>sanjay2410185@ssn.edu.in</t>
        </is>
      </c>
      <c r="F38" s="71" t="inlineStr">
        <is>
          <t>A</t>
        </is>
      </c>
      <c r="G38" s="71" t="inlineStr">
        <is>
          <t>A</t>
        </is>
      </c>
      <c r="H38" s="71" t="inlineStr">
        <is>
          <t>P</t>
        </is>
      </c>
      <c r="I38" s="71" t="inlineStr">
        <is>
          <t>P</t>
        </is>
      </c>
      <c r="J38" s="165" t="inlineStr">
        <is>
          <t>P</t>
        </is>
      </c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 t="n"/>
      <c r="BJ38" s="71">
        <f>COUNTIF(F38:BI38,"P")</f>
        <v/>
      </c>
      <c r="BK38" s="71">
        <f>SUM((BJ38/BJ12)*100)</f>
        <v/>
      </c>
    </row>
    <row r="39" ht="21" customHeight="1" s="55">
      <c r="A39" s="73" t="n">
        <v>27</v>
      </c>
      <c r="B39" s="74" t="n">
        <v>2410988</v>
      </c>
      <c r="C39" s="75" t="n">
        <v>3122245002093</v>
      </c>
      <c r="D39" s="76" t="inlineStr">
        <is>
          <t>Santhosh Aaron C</t>
        </is>
      </c>
      <c r="E39" s="76" t="inlineStr">
        <is>
          <t>santhosh2410988@ssn.edu.in</t>
        </is>
      </c>
      <c r="F39" s="71" t="inlineStr">
        <is>
          <t>A</t>
        </is>
      </c>
      <c r="G39" s="71" t="inlineStr">
        <is>
          <t>A</t>
        </is>
      </c>
      <c r="H39" s="71" t="inlineStr">
        <is>
          <t>P</t>
        </is>
      </c>
      <c r="I39" s="71" t="inlineStr">
        <is>
          <t>P</t>
        </is>
      </c>
      <c r="J39" s="165" t="inlineStr">
        <is>
          <t>P</t>
        </is>
      </c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 t="n"/>
      <c r="BJ39" s="71">
        <f>COUNTIF(F39:BI39,"P")</f>
        <v/>
      </c>
      <c r="BK39" s="71">
        <f>SUM((BJ39/BJ12)*100)</f>
        <v/>
      </c>
    </row>
    <row r="40" ht="21" customHeight="1" s="55">
      <c r="A40" s="73" t="n">
        <v>28</v>
      </c>
      <c r="B40" s="74" t="n">
        <v>2410488</v>
      </c>
      <c r="C40" s="75" t="n">
        <v>3122245002094</v>
      </c>
      <c r="D40" s="76" t="inlineStr">
        <is>
          <t>Sarvesh K</t>
        </is>
      </c>
      <c r="E40" s="76" t="inlineStr">
        <is>
          <t>sarvesh2410488@ssn.edu.in</t>
        </is>
      </c>
      <c r="F40" s="71" t="inlineStr">
        <is>
          <t>A</t>
        </is>
      </c>
      <c r="G40" s="71" t="inlineStr">
        <is>
          <t>A</t>
        </is>
      </c>
      <c r="H40" s="71" t="inlineStr">
        <is>
          <t>A</t>
        </is>
      </c>
      <c r="I40" s="71" t="inlineStr">
        <is>
          <t>A</t>
        </is>
      </c>
      <c r="J40" s="165" t="inlineStr">
        <is>
          <t>P</t>
        </is>
      </c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 t="n"/>
      <c r="BJ40" s="71">
        <f>COUNTIF(F40:BI40,"P")</f>
        <v/>
      </c>
      <c r="BK40" s="71">
        <f>SUM((BJ40/BJ12)*100)</f>
        <v/>
      </c>
    </row>
    <row r="41" ht="21" customHeight="1" s="55">
      <c r="A41" s="73" t="n">
        <v>29</v>
      </c>
      <c r="B41" s="74" t="n">
        <v>2410076</v>
      </c>
      <c r="C41" s="75" t="n">
        <v>3122245002095</v>
      </c>
      <c r="D41" s="76" t="inlineStr">
        <is>
          <t>Sarvesh S</t>
        </is>
      </c>
      <c r="E41" s="76" t="inlineStr">
        <is>
          <t>sarvesh2410076@ssn.edu.in</t>
        </is>
      </c>
      <c r="F41" s="71" t="inlineStr">
        <is>
          <t>P</t>
        </is>
      </c>
      <c r="G41" s="71" t="inlineStr">
        <is>
          <t>P</t>
        </is>
      </c>
      <c r="H41" s="71" t="inlineStr">
        <is>
          <t>P</t>
        </is>
      </c>
      <c r="I41" s="71" t="inlineStr">
        <is>
          <t>P</t>
        </is>
      </c>
      <c r="J41" s="165" t="inlineStr">
        <is>
          <t>P</t>
        </is>
      </c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 t="n"/>
      <c r="BJ41" s="71">
        <f>COUNTIF(F41:BI41,"P")</f>
        <v/>
      </c>
      <c r="BK41" s="71">
        <f>SUM((BJ41/BJ12)*100)</f>
        <v/>
      </c>
    </row>
    <row r="42" ht="21" customHeight="1" s="55">
      <c r="A42" s="73" t="n">
        <v>30</v>
      </c>
      <c r="B42" s="74" t="n">
        <v>2410740</v>
      </c>
      <c r="C42" s="75" t="n">
        <v>3122245002096</v>
      </c>
      <c r="D42" s="76" t="inlineStr">
        <is>
          <t>Sarvesh S</t>
        </is>
      </c>
      <c r="E42" s="76" t="inlineStr">
        <is>
          <t>sarvesh2410740@ssn.edu.in</t>
        </is>
      </c>
      <c r="F42" s="71" t="inlineStr">
        <is>
          <t>A</t>
        </is>
      </c>
      <c r="G42" s="71" t="inlineStr">
        <is>
          <t>A</t>
        </is>
      </c>
      <c r="H42" s="71" t="inlineStr">
        <is>
          <t>P</t>
        </is>
      </c>
      <c r="I42" s="71" t="inlineStr">
        <is>
          <t>P</t>
        </is>
      </c>
      <c r="J42" s="165" t="inlineStr">
        <is>
          <t>P</t>
        </is>
      </c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 t="n"/>
      <c r="BJ42" s="71">
        <f>COUNTIF(F42:BI42,"P")</f>
        <v/>
      </c>
      <c r="BK42" s="71">
        <f>SUM((BJ42/BJ12)*100)</f>
        <v/>
      </c>
    </row>
    <row r="43" ht="21" customHeight="1" s="55">
      <c r="A43" s="73" t="n">
        <v>31</v>
      </c>
      <c r="B43" s="74" t="n">
        <v>2410118</v>
      </c>
      <c r="C43" s="75" t="n">
        <v>3122245002097</v>
      </c>
      <c r="D43" s="76" t="inlineStr">
        <is>
          <t>Sathvik Gururaghavendran</t>
        </is>
      </c>
      <c r="E43" s="76" t="inlineStr">
        <is>
          <t>sathvik2410118@ssn.edu.in</t>
        </is>
      </c>
      <c r="F43" s="71" t="inlineStr">
        <is>
          <t>A</t>
        </is>
      </c>
      <c r="G43" s="71" t="inlineStr">
        <is>
          <t>A</t>
        </is>
      </c>
      <c r="H43" s="71" t="inlineStr">
        <is>
          <t>A</t>
        </is>
      </c>
      <c r="I43" s="71" t="inlineStr">
        <is>
          <t>A</t>
        </is>
      </c>
      <c r="J43" s="165" t="inlineStr">
        <is>
          <t>P</t>
        </is>
      </c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 t="n"/>
      <c r="BJ43" s="71">
        <f>COUNTIF(F43:BI43,"P")</f>
        <v/>
      </c>
      <c r="BK43" s="71">
        <f>SUM((BJ43/BJ12)*100)</f>
        <v/>
      </c>
    </row>
    <row r="44" ht="21" customHeight="1" s="55">
      <c r="A44" s="73" t="n">
        <v>32</v>
      </c>
      <c r="B44" s="74" t="n">
        <v>2410486</v>
      </c>
      <c r="C44" s="75" t="n">
        <v>3122245002098</v>
      </c>
      <c r="D44" s="76" t="inlineStr">
        <is>
          <t>Shalini G</t>
        </is>
      </c>
      <c r="E44" s="76" t="inlineStr">
        <is>
          <t>shalini2410486@ssn.edu.in</t>
        </is>
      </c>
      <c r="F44" s="71" t="inlineStr">
        <is>
          <t>A</t>
        </is>
      </c>
      <c r="G44" s="71" t="inlineStr">
        <is>
          <t>A</t>
        </is>
      </c>
      <c r="H44" s="71" t="inlineStr">
        <is>
          <t>P</t>
        </is>
      </c>
      <c r="I44" s="71" t="inlineStr">
        <is>
          <t>P</t>
        </is>
      </c>
      <c r="J44" s="165" t="inlineStr">
        <is>
          <t>P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 t="n"/>
      <c r="BJ44" s="71">
        <f>COUNTIF(F44:BI44,"P")</f>
        <v/>
      </c>
      <c r="BK44" s="71">
        <f>SUM((BJ44/BJ12)*100)</f>
        <v/>
      </c>
    </row>
    <row r="45" ht="21" customHeight="1" s="55">
      <c r="A45" s="73" t="n">
        <v>33</v>
      </c>
      <c r="B45" s="74" t="n">
        <v>2410569</v>
      </c>
      <c r="C45" s="75" t="n">
        <v>3122245002099</v>
      </c>
      <c r="D45" s="76" t="inlineStr">
        <is>
          <t>Sharaal Jospeen Rani S</t>
        </is>
      </c>
      <c r="E45" s="76" t="inlineStr">
        <is>
          <t>sharaaljospeenrani2410569@ssn.edu.in</t>
        </is>
      </c>
      <c r="F45" s="71" t="inlineStr">
        <is>
          <t>A</t>
        </is>
      </c>
      <c r="G45" s="71" t="inlineStr">
        <is>
          <t>A</t>
        </is>
      </c>
      <c r="H45" s="71" t="inlineStr">
        <is>
          <t>P</t>
        </is>
      </c>
      <c r="I45" s="71" t="inlineStr">
        <is>
          <t>P</t>
        </is>
      </c>
      <c r="J45" s="165" t="inlineStr">
        <is>
          <t>P</t>
        </is>
      </c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 t="n"/>
      <c r="BJ45" s="71">
        <f>COUNTIF(F45:BI45,"P")</f>
        <v/>
      </c>
      <c r="BK45" s="71">
        <f>SUM((BJ45/BJ12)*100)</f>
        <v/>
      </c>
    </row>
    <row r="46" ht="21" customHeight="1" s="55">
      <c r="A46" s="73" t="n">
        <v>34</v>
      </c>
      <c r="B46" s="74" t="n">
        <v>2410047</v>
      </c>
      <c r="C46" s="75" t="n">
        <v>3122245002100</v>
      </c>
      <c r="D46" s="76" t="inlineStr">
        <is>
          <t>Shashank V</t>
        </is>
      </c>
      <c r="E46" s="76" t="inlineStr">
        <is>
          <t>shashank2410047@ssn.edu.in</t>
        </is>
      </c>
      <c r="F46" s="71" t="inlineStr">
        <is>
          <t>A</t>
        </is>
      </c>
      <c r="G46" s="71" t="inlineStr">
        <is>
          <t>A</t>
        </is>
      </c>
      <c r="H46" s="71" t="inlineStr">
        <is>
          <t>A</t>
        </is>
      </c>
      <c r="I46" s="71" t="inlineStr">
        <is>
          <t>A</t>
        </is>
      </c>
      <c r="J46" s="165" t="inlineStr">
        <is>
          <t>P</t>
        </is>
      </c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 t="n"/>
      <c r="BJ46" s="71">
        <f>COUNTIF(F46:BI46,"P")</f>
        <v/>
      </c>
      <c r="BK46" s="71">
        <f>SUM((BJ46/BJ12)*100)</f>
        <v/>
      </c>
    </row>
    <row r="47" ht="21" customHeight="1" s="55">
      <c r="A47" s="73" t="n">
        <v>35</v>
      </c>
      <c r="B47" s="74" t="n">
        <v>2410184</v>
      </c>
      <c r="C47" s="75" t="n">
        <v>3122245002101</v>
      </c>
      <c r="D47" s="76" t="inlineStr">
        <is>
          <t>Shree M</t>
        </is>
      </c>
      <c r="E47" s="76" t="inlineStr">
        <is>
          <t>shree2410184@ssn.edu.in</t>
        </is>
      </c>
      <c r="F47" s="71" t="inlineStr">
        <is>
          <t>A</t>
        </is>
      </c>
      <c r="G47" s="71" t="inlineStr">
        <is>
          <t>A</t>
        </is>
      </c>
      <c r="H47" s="71" t="inlineStr">
        <is>
          <t>A</t>
        </is>
      </c>
      <c r="I47" s="71" t="inlineStr">
        <is>
          <t>A</t>
        </is>
      </c>
      <c r="J47" s="165" t="inlineStr">
        <is>
          <t>P</t>
        </is>
      </c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 t="n"/>
      <c r="BJ47" s="71">
        <f>COUNTIF(F47:BI47,"P")</f>
        <v/>
      </c>
      <c r="BK47" s="71">
        <f>SUM((BJ47/BJ13)*100)</f>
        <v/>
      </c>
    </row>
    <row r="48" ht="21" customHeight="1" s="55">
      <c r="A48" s="73" t="n">
        <v>36</v>
      </c>
      <c r="B48" s="74" t="n">
        <v>2410214</v>
      </c>
      <c r="C48" s="75" t="n">
        <v>3122245002102</v>
      </c>
      <c r="D48" s="76" t="inlineStr">
        <is>
          <t>Shrika Neeharika C</t>
        </is>
      </c>
      <c r="E48" s="76" t="inlineStr">
        <is>
          <t>shrikaneeharika2410214@ssn.edu.in</t>
        </is>
      </c>
      <c r="F48" s="71" t="inlineStr">
        <is>
          <t>A</t>
        </is>
      </c>
      <c r="G48" s="71" t="inlineStr">
        <is>
          <t>A</t>
        </is>
      </c>
      <c r="H48" s="71" t="inlineStr">
        <is>
          <t>A</t>
        </is>
      </c>
      <c r="I48" s="71" t="inlineStr">
        <is>
          <t>A</t>
        </is>
      </c>
      <c r="J48" s="165" t="inlineStr">
        <is>
          <t>P</t>
        </is>
      </c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 t="n"/>
      <c r="BJ48" s="71">
        <f>COUNTIF(F48:BI48,"P")</f>
        <v/>
      </c>
      <c r="BK48" s="71">
        <f>SUM((BJ48/BJ12)*100)</f>
        <v/>
      </c>
    </row>
    <row r="49" ht="21" customHeight="1" s="55">
      <c r="A49" s="73" t="n">
        <v>37</v>
      </c>
      <c r="B49" s="74" t="n">
        <v>2410072</v>
      </c>
      <c r="C49" s="75" t="n">
        <v>3122245002103</v>
      </c>
      <c r="D49" s="76" t="inlineStr">
        <is>
          <t>Shrish V V S Sri Kumar Rasamsetty</t>
        </is>
      </c>
      <c r="E49" s="76" t="inlineStr">
        <is>
          <t>shrish2410072@ssn.edu.in</t>
        </is>
      </c>
      <c r="F49" s="71" t="inlineStr">
        <is>
          <t>P</t>
        </is>
      </c>
      <c r="G49" s="71" t="inlineStr">
        <is>
          <t>P</t>
        </is>
      </c>
      <c r="H49" s="71" t="inlineStr">
        <is>
          <t>A</t>
        </is>
      </c>
      <c r="I49" s="71" t="inlineStr">
        <is>
          <t>A</t>
        </is>
      </c>
      <c r="J49" s="165" t="inlineStr">
        <is>
          <t>P</t>
        </is>
      </c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 t="n"/>
      <c r="BJ49" s="71">
        <f>COUNTIF(F49:BI49,"P")</f>
        <v/>
      </c>
      <c r="BK49" s="71">
        <f>SUM((BJ49/BJ12)*100)</f>
        <v/>
      </c>
    </row>
    <row r="50" ht="21" customHeight="1" s="55">
      <c r="A50" s="73" t="n">
        <v>38</v>
      </c>
      <c r="B50" s="74" t="n">
        <v>2410533</v>
      </c>
      <c r="C50" s="75" t="n">
        <v>3122245002104</v>
      </c>
      <c r="D50" s="76" t="inlineStr">
        <is>
          <t>Shyam T J</t>
        </is>
      </c>
      <c r="E50" s="76" t="inlineStr">
        <is>
          <t>shyam2410533@ssn.edu.in</t>
        </is>
      </c>
      <c r="F50" s="71" t="inlineStr">
        <is>
          <t>A</t>
        </is>
      </c>
      <c r="G50" s="71" t="inlineStr">
        <is>
          <t>A</t>
        </is>
      </c>
      <c r="H50" s="71" t="inlineStr">
        <is>
          <t>A</t>
        </is>
      </c>
      <c r="I50" s="71" t="inlineStr">
        <is>
          <t>A</t>
        </is>
      </c>
      <c r="J50" s="165" t="inlineStr">
        <is>
          <t>P</t>
        </is>
      </c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 t="n"/>
      <c r="BJ50" s="71">
        <f>COUNTIF(F50:BI50,"P")</f>
        <v/>
      </c>
      <c r="BK50" s="71">
        <f>SUM((BJ50/BJ12)*100)</f>
        <v/>
      </c>
    </row>
    <row r="51" ht="21" customHeight="1" s="55">
      <c r="A51" s="73" t="n">
        <v>39</v>
      </c>
      <c r="B51" s="74" t="n">
        <v>2410457</v>
      </c>
      <c r="C51" s="75" t="n">
        <v>3122245002105</v>
      </c>
      <c r="D51" s="76" t="inlineStr">
        <is>
          <t>Siva Hari Raj S T</t>
        </is>
      </c>
      <c r="E51" s="76" t="inlineStr">
        <is>
          <t>sivahariraj2410457@ssn.edu.in</t>
        </is>
      </c>
      <c r="F51" s="71" t="inlineStr">
        <is>
          <t>A</t>
        </is>
      </c>
      <c r="G51" s="71" t="inlineStr">
        <is>
          <t>A</t>
        </is>
      </c>
      <c r="H51" s="71" t="inlineStr">
        <is>
          <t>P</t>
        </is>
      </c>
      <c r="I51" s="71" t="inlineStr">
        <is>
          <t>P</t>
        </is>
      </c>
      <c r="J51" s="165" t="inlineStr">
        <is>
          <t>P</t>
        </is>
      </c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 t="n"/>
      <c r="BJ51" s="71">
        <f>COUNTIF(F51:BI51,"P")</f>
        <v/>
      </c>
      <c r="BK51" s="71">
        <f>SUM((BJ51/BJ12)*100)</f>
        <v/>
      </c>
    </row>
    <row r="52" ht="21" customHeight="1" s="55">
      <c r="A52" s="73" t="n">
        <v>40</v>
      </c>
      <c r="B52" s="74" t="n">
        <v>2410759</v>
      </c>
      <c r="C52" s="75" t="n">
        <v>3122245002106</v>
      </c>
      <c r="D52" s="76" t="inlineStr">
        <is>
          <t>Sivaprasanth K</t>
        </is>
      </c>
      <c r="E52" s="76" t="inlineStr">
        <is>
          <t>sivaprasanth2410759@ssn.edu.in</t>
        </is>
      </c>
      <c r="F52" s="71" t="inlineStr">
        <is>
          <t>A</t>
        </is>
      </c>
      <c r="G52" s="71" t="inlineStr">
        <is>
          <t>A</t>
        </is>
      </c>
      <c r="H52" s="71" t="inlineStr">
        <is>
          <t>A</t>
        </is>
      </c>
      <c r="I52" s="71" t="inlineStr">
        <is>
          <t>A</t>
        </is>
      </c>
      <c r="J52" s="165" t="inlineStr">
        <is>
          <t>P</t>
        </is>
      </c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 t="n"/>
      <c r="BJ52" s="71">
        <f>COUNTIF(F52:BI52,"P")</f>
        <v/>
      </c>
      <c r="BK52" s="71">
        <f>SUM((BJ52/BJ12)*100)</f>
        <v/>
      </c>
    </row>
    <row r="53" ht="21" customHeight="1" s="55">
      <c r="A53" s="73" t="n">
        <v>41</v>
      </c>
      <c r="B53" s="74" t="n">
        <v>2410530</v>
      </c>
      <c r="C53" s="75" t="n">
        <v>3122245002107</v>
      </c>
      <c r="D53" s="76" t="inlineStr">
        <is>
          <t>Sreenath G</t>
        </is>
      </c>
      <c r="E53" s="76" t="inlineStr">
        <is>
          <t>sreenath2410530@ssn.edu.in</t>
        </is>
      </c>
      <c r="F53" s="71" t="inlineStr">
        <is>
          <t>P</t>
        </is>
      </c>
      <c r="G53" s="71" t="inlineStr">
        <is>
          <t>P</t>
        </is>
      </c>
      <c r="H53" s="71" t="inlineStr">
        <is>
          <t>A</t>
        </is>
      </c>
      <c r="I53" s="71" t="inlineStr">
        <is>
          <t>A</t>
        </is>
      </c>
      <c r="J53" s="165" t="inlineStr">
        <is>
          <t>P</t>
        </is>
      </c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 t="n"/>
      <c r="BJ53" s="71">
        <f>COUNTIF(F53:BI53,"P")</f>
        <v/>
      </c>
      <c r="BK53" s="71">
        <f>SUM((BJ53/BJ12)*100)</f>
        <v/>
      </c>
    </row>
    <row r="54" ht="21" customHeight="1" s="55">
      <c r="A54" s="73" t="n">
        <v>42</v>
      </c>
      <c r="B54" s="74" t="n">
        <v>2410089</v>
      </c>
      <c r="C54" s="75" t="n">
        <v>3122245002108</v>
      </c>
      <c r="D54" s="76" t="inlineStr">
        <is>
          <t>Sri Subhiksha T</t>
        </is>
      </c>
      <c r="E54" s="76" t="inlineStr">
        <is>
          <t>sri2410089@ssn.edu.in</t>
        </is>
      </c>
      <c r="F54" s="71" t="inlineStr">
        <is>
          <t>P</t>
        </is>
      </c>
      <c r="G54" s="71" t="inlineStr">
        <is>
          <t>P</t>
        </is>
      </c>
      <c r="H54" s="71" t="inlineStr">
        <is>
          <t>A</t>
        </is>
      </c>
      <c r="I54" s="71" t="inlineStr">
        <is>
          <t>A</t>
        </is>
      </c>
      <c r="J54" s="165" t="inlineStr">
        <is>
          <t>P</t>
        </is>
      </c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 t="n"/>
      <c r="BJ54" s="71">
        <f>COUNTIF(F54:BI54,"P")</f>
        <v/>
      </c>
      <c r="BK54" s="71">
        <f>SUM((BJ54/BJ12)*100)</f>
        <v/>
      </c>
    </row>
    <row r="55" ht="21" customHeight="1" s="55">
      <c r="A55" s="73" t="n">
        <v>43</v>
      </c>
      <c r="B55" s="74" t="n">
        <v>2410307</v>
      </c>
      <c r="C55" s="75" t="n">
        <v>3122245002109</v>
      </c>
      <c r="D55" s="76" t="inlineStr">
        <is>
          <t>Srimathi B</t>
        </is>
      </c>
      <c r="E55" s="76" t="inlineStr">
        <is>
          <t>srimathi2410307@ssn.edu.in</t>
        </is>
      </c>
      <c r="F55" s="71" t="inlineStr">
        <is>
          <t>P</t>
        </is>
      </c>
      <c r="G55" s="71" t="inlineStr">
        <is>
          <t>P</t>
        </is>
      </c>
      <c r="H55" s="71" t="inlineStr">
        <is>
          <t>A</t>
        </is>
      </c>
      <c r="I55" s="71" t="inlineStr">
        <is>
          <t>A</t>
        </is>
      </c>
      <c r="J55" s="165" t="inlineStr">
        <is>
          <t>P</t>
        </is>
      </c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 t="n"/>
      <c r="BJ55" s="71">
        <f>COUNTIF(F55:BI55,"P")</f>
        <v/>
      </c>
      <c r="BK55" s="71">
        <f>SUM((BJ55/BJ12)*100)</f>
        <v/>
      </c>
    </row>
    <row r="56" ht="21" customHeight="1" s="55">
      <c r="A56" s="73" t="n">
        <v>44</v>
      </c>
      <c r="B56" s="74" t="n">
        <v>2410315</v>
      </c>
      <c r="C56" s="75" t="n">
        <v>3122245002110</v>
      </c>
      <c r="D56" s="76" t="inlineStr">
        <is>
          <t>Sriram R</t>
        </is>
      </c>
      <c r="E56" s="76" t="inlineStr">
        <is>
          <t>sriram2410315@ssn.edu.in</t>
        </is>
      </c>
      <c r="F56" s="71" t="inlineStr">
        <is>
          <t>P</t>
        </is>
      </c>
      <c r="G56" s="71" t="inlineStr">
        <is>
          <t>P</t>
        </is>
      </c>
      <c r="H56" s="71" t="inlineStr">
        <is>
          <t>A</t>
        </is>
      </c>
      <c r="I56" s="71" t="inlineStr">
        <is>
          <t>A</t>
        </is>
      </c>
      <c r="J56" s="165" t="inlineStr">
        <is>
          <t>P</t>
        </is>
      </c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 t="n"/>
      <c r="BJ56" s="71">
        <f>COUNTIF(F56:BI56,"P")</f>
        <v/>
      </c>
      <c r="BK56" s="71">
        <f>SUM((BJ56/BJ12)*100)</f>
        <v/>
      </c>
    </row>
    <row r="57" ht="21" customHeight="1" s="55">
      <c r="A57" s="73" t="n">
        <v>45</v>
      </c>
      <c r="B57" s="74" t="n">
        <v>2410777</v>
      </c>
      <c r="C57" s="75" t="n">
        <v>3122245002111</v>
      </c>
      <c r="D57" s="76" t="inlineStr">
        <is>
          <t>Srivarshan S</t>
        </is>
      </c>
      <c r="E57" s="76" t="inlineStr">
        <is>
          <t>srivarshan2410777@ssn.edu.in</t>
        </is>
      </c>
      <c r="F57" s="71" t="inlineStr">
        <is>
          <t>A</t>
        </is>
      </c>
      <c r="G57" s="71" t="inlineStr">
        <is>
          <t>A</t>
        </is>
      </c>
      <c r="H57" s="71" t="inlineStr">
        <is>
          <t>A</t>
        </is>
      </c>
      <c r="I57" s="71" t="inlineStr">
        <is>
          <t>A</t>
        </is>
      </c>
      <c r="J57" s="165" t="inlineStr">
        <is>
          <t>P</t>
        </is>
      </c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1" t="n"/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 t="n"/>
      <c r="BJ57" s="71">
        <f>COUNTIF(F57:BI57,"P")</f>
        <v/>
      </c>
      <c r="BK57" s="71">
        <f>SUM((BJ57/BJ12)*100)</f>
        <v/>
      </c>
    </row>
    <row r="58" ht="21" customHeight="1" s="55">
      <c r="A58" s="73" t="n">
        <v>46</v>
      </c>
      <c r="B58" s="74" t="n">
        <v>2410345</v>
      </c>
      <c r="C58" s="75" t="n">
        <v>3122245002112</v>
      </c>
      <c r="D58" s="76" t="inlineStr">
        <is>
          <t>Srivathsan G</t>
        </is>
      </c>
      <c r="E58" s="76" t="inlineStr">
        <is>
          <t>srivathsan2410345@ssn.edu.in</t>
        </is>
      </c>
      <c r="F58" s="71" t="inlineStr">
        <is>
          <t>P</t>
        </is>
      </c>
      <c r="G58" s="71" t="inlineStr">
        <is>
          <t>P</t>
        </is>
      </c>
      <c r="H58" s="71" t="inlineStr">
        <is>
          <t>P</t>
        </is>
      </c>
      <c r="I58" s="71" t="inlineStr">
        <is>
          <t>P</t>
        </is>
      </c>
      <c r="J58" s="165" t="inlineStr">
        <is>
          <t>P</t>
        </is>
      </c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1" t="n"/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 t="n"/>
      <c r="BJ58" s="71">
        <f>COUNTIF(F58:BI58,"P")</f>
        <v/>
      </c>
      <c r="BK58" s="71">
        <f>SUM((BJ58/BJ12)*100)</f>
        <v/>
      </c>
    </row>
    <row r="59" ht="21" customHeight="1" s="55">
      <c r="A59" s="73" t="n">
        <v>47</v>
      </c>
      <c r="B59" s="74" t="n">
        <v>2410867</v>
      </c>
      <c r="C59" s="75" t="n">
        <v>3122245002113</v>
      </c>
      <c r="D59" s="76" t="inlineStr">
        <is>
          <t>Sudharsan S</t>
        </is>
      </c>
      <c r="E59" s="76" t="inlineStr">
        <is>
          <t>sudharsan2410867@ssn.edu.in</t>
        </is>
      </c>
      <c r="F59" s="71" t="inlineStr">
        <is>
          <t>A</t>
        </is>
      </c>
      <c r="G59" s="71" t="inlineStr">
        <is>
          <t>A</t>
        </is>
      </c>
      <c r="H59" s="71" t="inlineStr">
        <is>
          <t>P</t>
        </is>
      </c>
      <c r="I59" s="71" t="inlineStr">
        <is>
          <t>P</t>
        </is>
      </c>
      <c r="J59" s="165" t="inlineStr">
        <is>
          <t>P</t>
        </is>
      </c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1" t="n"/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 t="n"/>
      <c r="BJ59" s="71">
        <f>COUNTIF(F59:BI59,"P")</f>
        <v/>
      </c>
      <c r="BK59" s="71">
        <f>SUM((BJ59/BJ12)*100)</f>
        <v/>
      </c>
    </row>
    <row r="60" ht="21" customHeight="1" s="55">
      <c r="A60" s="73" t="n">
        <v>48</v>
      </c>
      <c r="B60" s="74" t="n">
        <v>2410309</v>
      </c>
      <c r="C60" s="75" t="n">
        <v>3122245002114</v>
      </c>
      <c r="D60" s="76" t="inlineStr">
        <is>
          <t>Sunitha Adluru</t>
        </is>
      </c>
      <c r="E60" s="76" t="inlineStr">
        <is>
          <t>sunitha2410309@ssn.edu.in</t>
        </is>
      </c>
      <c r="F60" s="71" t="inlineStr">
        <is>
          <t>A</t>
        </is>
      </c>
      <c r="G60" s="71" t="inlineStr">
        <is>
          <t>A</t>
        </is>
      </c>
      <c r="H60" s="71" t="inlineStr">
        <is>
          <t>P</t>
        </is>
      </c>
      <c r="I60" s="71" t="inlineStr">
        <is>
          <t>P</t>
        </is>
      </c>
      <c r="J60" s="165" t="inlineStr">
        <is>
          <t>A</t>
        </is>
      </c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 t="n"/>
      <c r="BJ60" s="71">
        <f>COUNTIF(F60:BI60,"P")</f>
        <v/>
      </c>
      <c r="BK60" s="71">
        <f>SUM((BJ60/BJ12)*100)</f>
        <v/>
      </c>
    </row>
    <row r="61" ht="21" customHeight="1" s="55">
      <c r="A61" s="73" t="n">
        <v>49</v>
      </c>
      <c r="B61" s="74" t="n">
        <v>2410404</v>
      </c>
      <c r="C61" s="75" t="n">
        <v>3122245002115</v>
      </c>
      <c r="D61" s="76" t="inlineStr">
        <is>
          <t>Supritha R</t>
        </is>
      </c>
      <c r="E61" s="76" t="inlineStr">
        <is>
          <t>supritha2410404@ssn.edu.in</t>
        </is>
      </c>
      <c r="F61" s="71" t="inlineStr">
        <is>
          <t>A</t>
        </is>
      </c>
      <c r="G61" s="71" t="inlineStr">
        <is>
          <t>A</t>
        </is>
      </c>
      <c r="H61" s="71" t="inlineStr">
        <is>
          <t>P</t>
        </is>
      </c>
      <c r="I61" s="71" t="inlineStr">
        <is>
          <t>P</t>
        </is>
      </c>
      <c r="J61" s="165" t="inlineStr">
        <is>
          <t>P</t>
        </is>
      </c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1" t="n"/>
      <c r="AE61" s="71" t="n"/>
      <c r="AF61" s="71" t="n"/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1" t="n"/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 t="n"/>
      <c r="BJ61" s="71">
        <f>COUNTIF(F61:BI61,"P")</f>
        <v/>
      </c>
      <c r="BK61" s="71">
        <f>SUM((BJ61/BJ12)*100)</f>
        <v/>
      </c>
    </row>
    <row r="62" ht="21" customHeight="1" s="55">
      <c r="A62" s="73" t="n">
        <v>50</v>
      </c>
      <c r="B62" s="74" t="n">
        <v>2410239</v>
      </c>
      <c r="C62" s="75" t="n">
        <v>3122245002116</v>
      </c>
      <c r="D62" s="76" t="inlineStr">
        <is>
          <t>Sweta Sri P</t>
        </is>
      </c>
      <c r="E62" s="76" t="inlineStr">
        <is>
          <t>swetasri2410239@ssn.edu.in</t>
        </is>
      </c>
      <c r="F62" s="71" t="inlineStr">
        <is>
          <t>P</t>
        </is>
      </c>
      <c r="G62" s="71" t="inlineStr">
        <is>
          <t>P</t>
        </is>
      </c>
      <c r="H62" s="71" t="inlineStr">
        <is>
          <t>P</t>
        </is>
      </c>
      <c r="I62" s="71" t="inlineStr">
        <is>
          <t>P</t>
        </is>
      </c>
      <c r="J62" s="165" t="inlineStr">
        <is>
          <t>P</t>
        </is>
      </c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1" t="n"/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 t="n"/>
      <c r="BJ62" s="71">
        <f>COUNTIF(F62:BI62,"P")</f>
        <v/>
      </c>
      <c r="BK62" s="71">
        <f>SUM((BJ62/BJ12)*100)</f>
        <v/>
      </c>
    </row>
    <row r="63" ht="21" customHeight="1" s="55">
      <c r="A63" s="73" t="n">
        <v>51</v>
      </c>
      <c r="B63" s="74" t="n">
        <v>2410247</v>
      </c>
      <c r="C63" s="75" t="n">
        <v>3122245002117</v>
      </c>
      <c r="D63" s="76" t="inlineStr">
        <is>
          <t>Tejaswin Bhola</t>
        </is>
      </c>
      <c r="E63" s="76" t="inlineStr">
        <is>
          <t>tejaswin2410247@ssn.edu.in</t>
        </is>
      </c>
      <c r="F63" s="71" t="inlineStr">
        <is>
          <t>P</t>
        </is>
      </c>
      <c r="G63" s="71" t="inlineStr">
        <is>
          <t>P</t>
        </is>
      </c>
      <c r="H63" s="71" t="inlineStr">
        <is>
          <t>P</t>
        </is>
      </c>
      <c r="I63" s="71" t="inlineStr">
        <is>
          <t>P</t>
        </is>
      </c>
      <c r="J63" s="165" t="inlineStr">
        <is>
          <t>P</t>
        </is>
      </c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 t="n"/>
      <c r="BJ63" s="71">
        <f>COUNTIF(F63:BI63,"P")</f>
        <v/>
      </c>
      <c r="BK63" s="71">
        <f>SUM((BJ63/BJ12)*100)</f>
        <v/>
      </c>
    </row>
    <row r="64" ht="21" customHeight="1" s="55">
      <c r="A64" s="73" t="n">
        <v>52</v>
      </c>
      <c r="B64" s="74" t="n">
        <v>2410699</v>
      </c>
      <c r="C64" s="75" t="n">
        <v>3122245002118</v>
      </c>
      <c r="D64" s="76" t="inlineStr">
        <is>
          <t>Thamizhini R</t>
        </is>
      </c>
      <c r="E64" s="76" t="inlineStr">
        <is>
          <t>thamizhini2410699@ssn.edu.in</t>
        </is>
      </c>
      <c r="F64" s="71" t="inlineStr">
        <is>
          <t>P</t>
        </is>
      </c>
      <c r="G64" s="71" t="inlineStr">
        <is>
          <t>P</t>
        </is>
      </c>
      <c r="H64" s="71" t="inlineStr">
        <is>
          <t>P</t>
        </is>
      </c>
      <c r="I64" s="71" t="inlineStr">
        <is>
          <t>P</t>
        </is>
      </c>
      <c r="J64" s="165" t="inlineStr">
        <is>
          <t>P</t>
        </is>
      </c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 t="n"/>
      <c r="BJ64" s="71">
        <f>COUNTIF(F64:BI64,"P")</f>
        <v/>
      </c>
      <c r="BK64" s="71">
        <f>SUM((BJ64/BJ12)*100)</f>
        <v/>
      </c>
    </row>
    <row r="65" ht="21" customHeight="1" s="55">
      <c r="A65" s="73" t="n">
        <v>53</v>
      </c>
      <c r="B65" s="74" t="n">
        <v>2410405</v>
      </c>
      <c r="C65" s="75" t="n">
        <v>3122245002119</v>
      </c>
      <c r="D65" s="76" t="inlineStr">
        <is>
          <t>Tharun Balaji M</t>
        </is>
      </c>
      <c r="E65" s="76" t="inlineStr">
        <is>
          <t>tharunbalaji2410405@ssn.edu.in</t>
        </is>
      </c>
      <c r="F65" s="71" t="inlineStr">
        <is>
          <t>A</t>
        </is>
      </c>
      <c r="G65" s="71" t="inlineStr">
        <is>
          <t>A</t>
        </is>
      </c>
      <c r="H65" s="71" t="inlineStr">
        <is>
          <t>A</t>
        </is>
      </c>
      <c r="I65" s="71" t="inlineStr">
        <is>
          <t>A</t>
        </is>
      </c>
      <c r="J65" s="165" t="inlineStr">
        <is>
          <t>P</t>
        </is>
      </c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1" t="n"/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 t="n"/>
      <c r="BJ65" s="71">
        <f>COUNTIF(F65:BI65,"P")</f>
        <v/>
      </c>
      <c r="BK65" s="71">
        <f>SUM((BJ65/BJ12)*100)</f>
        <v/>
      </c>
    </row>
    <row r="66" ht="21" customHeight="1" s="55">
      <c r="A66" s="73" t="n">
        <v>54</v>
      </c>
      <c r="B66" s="74" t="n">
        <v>2410785</v>
      </c>
      <c r="C66" s="75" t="n">
        <v>3122245002120</v>
      </c>
      <c r="D66" s="76" t="inlineStr">
        <is>
          <t>Thavasi M</t>
        </is>
      </c>
      <c r="E66" s="76" t="inlineStr">
        <is>
          <t>thavasi2410785@ssn.edu.in</t>
        </is>
      </c>
      <c r="F66" s="71" t="inlineStr">
        <is>
          <t>A</t>
        </is>
      </c>
      <c r="G66" s="71" t="inlineStr">
        <is>
          <t>A</t>
        </is>
      </c>
      <c r="H66" s="71" t="inlineStr">
        <is>
          <t>A</t>
        </is>
      </c>
      <c r="I66" s="71" t="inlineStr">
        <is>
          <t>A</t>
        </is>
      </c>
      <c r="J66" s="165" t="inlineStr">
        <is>
          <t>P</t>
        </is>
      </c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1" t="n"/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 t="n"/>
      <c r="BJ66" s="71">
        <f>COUNTIF(F66:BI66,"P")</f>
        <v/>
      </c>
      <c r="BK66" s="71">
        <f>SUM((BJ66/BJ12)*100)</f>
        <v/>
      </c>
    </row>
    <row r="67" ht="21" customHeight="1" s="55">
      <c r="A67" s="73" t="n">
        <v>55</v>
      </c>
      <c r="B67" s="74" t="n">
        <v>2410584</v>
      </c>
      <c r="C67" s="75" t="n">
        <v>3122245002121</v>
      </c>
      <c r="D67" s="76" t="inlineStr">
        <is>
          <t>Thirukkumaran V M</t>
        </is>
      </c>
      <c r="E67" s="76" t="inlineStr">
        <is>
          <t>thirukkumaran2410584@ssn.edu.in</t>
        </is>
      </c>
      <c r="F67" s="71" t="inlineStr">
        <is>
          <t>P</t>
        </is>
      </c>
      <c r="G67" s="71" t="inlineStr">
        <is>
          <t>P</t>
        </is>
      </c>
      <c r="H67" s="71" t="inlineStr">
        <is>
          <t>A</t>
        </is>
      </c>
      <c r="I67" s="71" t="inlineStr">
        <is>
          <t>A</t>
        </is>
      </c>
      <c r="J67" s="165" t="inlineStr">
        <is>
          <t>P</t>
        </is>
      </c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1" t="n"/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 t="n"/>
      <c r="BJ67" s="71">
        <f>COUNTIF(F67:BI67,"P")</f>
        <v/>
      </c>
      <c r="BK67" s="71">
        <f>SUM((BJ67/BJ12)*100)</f>
        <v/>
      </c>
    </row>
    <row r="68" ht="21" customHeight="1" s="55">
      <c r="A68" s="73" t="n">
        <v>56</v>
      </c>
      <c r="B68" s="74" t="n">
        <v>2410413</v>
      </c>
      <c r="C68" s="75" t="n">
        <v>3122245002122</v>
      </c>
      <c r="D68" s="76" t="inlineStr">
        <is>
          <t>Varsha M</t>
        </is>
      </c>
      <c r="E68" s="76" t="inlineStr">
        <is>
          <t>varsha2410413@ssn.edu.in</t>
        </is>
      </c>
      <c r="F68" s="71" t="inlineStr">
        <is>
          <t>A</t>
        </is>
      </c>
      <c r="G68" s="71" t="inlineStr">
        <is>
          <t>A</t>
        </is>
      </c>
      <c r="H68" s="71" t="inlineStr">
        <is>
          <t>P</t>
        </is>
      </c>
      <c r="I68" s="71" t="inlineStr">
        <is>
          <t>P</t>
        </is>
      </c>
      <c r="J68" s="165" t="inlineStr">
        <is>
          <t>P</t>
        </is>
      </c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1" t="n"/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 t="n"/>
      <c r="BJ68" s="71">
        <f>COUNTIF(F68:BI68,"P")</f>
        <v/>
      </c>
      <c r="BK68" s="71">
        <f>SUM((BJ68/BJ12)*100)</f>
        <v/>
      </c>
    </row>
    <row r="69" ht="21" customHeight="1" s="55">
      <c r="A69" s="73" t="n">
        <v>57</v>
      </c>
      <c r="B69" s="74" t="n">
        <v>2410848</v>
      </c>
      <c r="C69" s="75" t="n">
        <v>3122245002123</v>
      </c>
      <c r="D69" s="76" t="inlineStr">
        <is>
          <t>Varsha S</t>
        </is>
      </c>
      <c r="E69" s="76" t="inlineStr">
        <is>
          <t>varsha2410848@ssn.edu.in</t>
        </is>
      </c>
      <c r="F69" s="71" t="inlineStr">
        <is>
          <t>A</t>
        </is>
      </c>
      <c r="G69" s="71" t="inlineStr">
        <is>
          <t>A</t>
        </is>
      </c>
      <c r="H69" s="71" t="inlineStr">
        <is>
          <t>A</t>
        </is>
      </c>
      <c r="I69" s="71" t="inlineStr">
        <is>
          <t>A</t>
        </is>
      </c>
      <c r="J69" s="165" t="inlineStr">
        <is>
          <t>P</t>
        </is>
      </c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1" t="n"/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 t="n"/>
      <c r="BJ69" s="71">
        <f>COUNTIF(F69:BI69,"P")</f>
        <v/>
      </c>
      <c r="BK69" s="71">
        <f>SUM((BJ69/BJ12)*100)</f>
        <v/>
      </c>
    </row>
    <row r="70" ht="21" customHeight="1" s="55">
      <c r="A70" s="73" t="n">
        <v>58</v>
      </c>
      <c r="B70" s="74" t="n">
        <v>2410804</v>
      </c>
      <c r="C70" s="75" t="n">
        <v>3122245002124</v>
      </c>
      <c r="D70" s="76" t="inlineStr">
        <is>
          <t>Vijai T</t>
        </is>
      </c>
      <c r="E70" s="76" t="inlineStr">
        <is>
          <t>vijai2410804@ssn.edu.in</t>
        </is>
      </c>
      <c r="F70" s="71" t="inlineStr">
        <is>
          <t>A</t>
        </is>
      </c>
      <c r="G70" s="71" t="inlineStr">
        <is>
          <t>A</t>
        </is>
      </c>
      <c r="H70" s="71" t="inlineStr">
        <is>
          <t>A</t>
        </is>
      </c>
      <c r="I70" s="71" t="inlineStr">
        <is>
          <t>A</t>
        </is>
      </c>
      <c r="J70" s="165" t="inlineStr">
        <is>
          <t>P</t>
        </is>
      </c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  <c r="AJ70" s="71" t="n"/>
      <c r="AK70" s="71" t="n"/>
      <c r="AL70" s="71" t="n"/>
      <c r="AM70" s="71" t="n"/>
      <c r="AN70" s="71" t="n"/>
      <c r="AO70" s="71" t="n"/>
      <c r="AP70" s="71" t="n"/>
      <c r="AQ70" s="71" t="n"/>
      <c r="AR70" s="71" t="n"/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 t="n"/>
      <c r="BJ70" s="71">
        <f>COUNTIF(F70:BI70,"P")</f>
        <v/>
      </c>
      <c r="BK70" s="71">
        <f>SUM((BJ70/BJ12)*100)</f>
        <v/>
      </c>
    </row>
    <row r="71" ht="21" customHeight="1" s="55">
      <c r="A71" s="73" t="n">
        <v>59</v>
      </c>
      <c r="B71" s="74" t="n">
        <v>2410586</v>
      </c>
      <c r="C71" s="75" t="n">
        <v>3122245002125</v>
      </c>
      <c r="D71" s="76" t="inlineStr">
        <is>
          <t>Vimal Raj M</t>
        </is>
      </c>
      <c r="E71" s="76" t="inlineStr">
        <is>
          <t>vimalraj2410586@ssn.edu.in</t>
        </is>
      </c>
      <c r="F71" s="71" t="inlineStr">
        <is>
          <t>A</t>
        </is>
      </c>
      <c r="G71" s="71" t="inlineStr">
        <is>
          <t>A</t>
        </is>
      </c>
      <c r="H71" s="71" t="inlineStr">
        <is>
          <t>A</t>
        </is>
      </c>
      <c r="I71" s="71" t="inlineStr">
        <is>
          <t>A</t>
        </is>
      </c>
      <c r="J71" s="165" t="inlineStr">
        <is>
          <t>P</t>
        </is>
      </c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 t="n"/>
      <c r="BJ71" s="71">
        <f>COUNTIF(F71:BI71,"P")</f>
        <v/>
      </c>
      <c r="BK71" s="71">
        <f>SUM((BJ71/BJ12)*100)</f>
        <v/>
      </c>
    </row>
    <row r="72" ht="21" customHeight="1" s="55">
      <c r="A72" s="73" t="n">
        <v>60</v>
      </c>
      <c r="B72" s="74" t="n">
        <v>2410781</v>
      </c>
      <c r="C72" s="75" t="n">
        <v>3122245002126</v>
      </c>
      <c r="D72" s="76" t="inlineStr">
        <is>
          <t>Vinobalan K</t>
        </is>
      </c>
      <c r="E72" s="76" t="inlineStr">
        <is>
          <t>vinobalan2410781@ssn.edu.in</t>
        </is>
      </c>
      <c r="F72" s="71" t="inlineStr">
        <is>
          <t>P</t>
        </is>
      </c>
      <c r="G72" s="71" t="inlineStr">
        <is>
          <t>P</t>
        </is>
      </c>
      <c r="H72" s="71" t="inlineStr">
        <is>
          <t>P</t>
        </is>
      </c>
      <c r="I72" s="71" t="inlineStr">
        <is>
          <t>P</t>
        </is>
      </c>
      <c r="J72" s="165" t="inlineStr">
        <is>
          <t>P</t>
        </is>
      </c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 t="n"/>
      <c r="BJ72" s="71">
        <f>COUNTIF(F72:BI72,"P")</f>
        <v/>
      </c>
      <c r="BK72" s="71">
        <f>SUM((BJ72/BJ12)*100)</f>
        <v/>
      </c>
    </row>
    <row r="73" ht="21" customHeight="1" s="55">
      <c r="A73" s="73" t="n">
        <v>61</v>
      </c>
      <c r="B73" s="74" t="n">
        <v>2410739</v>
      </c>
      <c r="C73" s="75" t="n">
        <v>3122245002127</v>
      </c>
      <c r="D73" s="76" t="inlineStr">
        <is>
          <t>Vishnu A</t>
        </is>
      </c>
      <c r="E73" s="76" t="inlineStr">
        <is>
          <t>vishnu2410739@ssn.edu.in</t>
        </is>
      </c>
      <c r="F73" s="71" t="inlineStr">
        <is>
          <t>A</t>
        </is>
      </c>
      <c r="G73" s="71" t="inlineStr">
        <is>
          <t>A</t>
        </is>
      </c>
      <c r="H73" s="71" t="inlineStr">
        <is>
          <t>A</t>
        </is>
      </c>
      <c r="I73" s="71" t="inlineStr">
        <is>
          <t>A</t>
        </is>
      </c>
      <c r="J73" s="165" t="inlineStr">
        <is>
          <t>P</t>
        </is>
      </c>
      <c r="K73" s="71" t="n"/>
      <c r="L73" s="71" t="n"/>
      <c r="M73" s="7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1" t="n"/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 t="n"/>
      <c r="BJ73" s="71">
        <f>COUNTIF(F73:BI73,"P")</f>
        <v/>
      </c>
      <c r="BK73" s="71">
        <f>SUM((BJ73/BJ12)*100)</f>
        <v/>
      </c>
    </row>
    <row r="74" ht="21" customHeight="1" s="55">
      <c r="A74" s="73" t="n">
        <v>62</v>
      </c>
      <c r="B74" s="74" t="n">
        <v>2410079</v>
      </c>
      <c r="C74" s="75" t="n">
        <v>3122245002128</v>
      </c>
      <c r="D74" s="76" t="inlineStr">
        <is>
          <t>Yasasvini Tiwari</t>
        </is>
      </c>
      <c r="E74" s="76" t="inlineStr">
        <is>
          <t>yasasvini2410079@ssn.edu.in</t>
        </is>
      </c>
      <c r="F74" s="71" t="inlineStr">
        <is>
          <t>A</t>
        </is>
      </c>
      <c r="G74" s="71" t="inlineStr">
        <is>
          <t>A</t>
        </is>
      </c>
      <c r="H74" s="71" t="inlineStr">
        <is>
          <t>A</t>
        </is>
      </c>
      <c r="I74" s="71" t="inlineStr">
        <is>
          <t>A</t>
        </is>
      </c>
      <c r="J74" s="165" t="inlineStr">
        <is>
          <t>P</t>
        </is>
      </c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1" t="n"/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 t="n"/>
      <c r="BJ74" s="71">
        <f>COUNTIF(F74:BI74,"P")</f>
        <v/>
      </c>
      <c r="BK74" s="71">
        <f>SUM((BJ74/BJ12)*100)</f>
        <v/>
      </c>
    </row>
    <row r="75" ht="21" customHeight="1" s="55">
      <c r="A75" s="73" t="n">
        <v>63</v>
      </c>
      <c r="B75" s="74" t="n">
        <v>2410480</v>
      </c>
      <c r="C75" s="75" t="n">
        <v>3122245002129</v>
      </c>
      <c r="D75" s="76" t="inlineStr">
        <is>
          <t>Yashwanth B</t>
        </is>
      </c>
      <c r="E75" s="76" t="inlineStr">
        <is>
          <t>yashwanth2410480@ssn.edu.in</t>
        </is>
      </c>
      <c r="F75" s="71" t="inlineStr">
        <is>
          <t>A</t>
        </is>
      </c>
      <c r="G75" s="71" t="inlineStr">
        <is>
          <t>A</t>
        </is>
      </c>
      <c r="H75" s="71" t="inlineStr">
        <is>
          <t>A</t>
        </is>
      </c>
      <c r="I75" s="71" t="inlineStr">
        <is>
          <t>A</t>
        </is>
      </c>
      <c r="J75" s="165" t="inlineStr">
        <is>
          <t>P</t>
        </is>
      </c>
      <c r="K75" s="71" t="n"/>
      <c r="L75" s="71" t="n"/>
      <c r="M75" s="7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1" t="n"/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 t="n"/>
      <c r="BJ75" s="71">
        <f>COUNTIF(F75:BI75,"P")</f>
        <v/>
      </c>
      <c r="BK75" s="71">
        <f>SUM((BJ75/BJ12)*100)</f>
        <v/>
      </c>
    </row>
    <row r="76" ht="21" customHeight="1" s="55">
      <c r="A76" s="73" t="n">
        <v>64</v>
      </c>
      <c r="B76" s="74" t="n">
        <v>2410433</v>
      </c>
      <c r="C76" s="75" t="n">
        <v>3122245002130</v>
      </c>
      <c r="D76" s="76" t="inlineStr">
        <is>
          <t>Yashwanth R</t>
        </is>
      </c>
      <c r="E76" s="76" t="inlineStr">
        <is>
          <t>yashwanth2410433@ssn.edu.in</t>
        </is>
      </c>
      <c r="F76" s="71" t="inlineStr">
        <is>
          <t>P</t>
        </is>
      </c>
      <c r="G76" s="71" t="inlineStr">
        <is>
          <t>P</t>
        </is>
      </c>
      <c r="H76" s="71" t="inlineStr">
        <is>
          <t>A</t>
        </is>
      </c>
      <c r="I76" s="71" t="inlineStr">
        <is>
          <t>A</t>
        </is>
      </c>
      <c r="J76" s="165" t="inlineStr">
        <is>
          <t>P</t>
        </is>
      </c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1" t="n"/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 t="n"/>
      <c r="BJ76" s="71">
        <f>COUNTIF(F76:BI76,"P")</f>
        <v/>
      </c>
      <c r="BK76" s="71">
        <f>SUM((BJ76/BJ12)*100)</f>
        <v/>
      </c>
    </row>
    <row r="77" ht="21" customHeight="1" s="55">
      <c r="A77" s="73" t="n">
        <v>65</v>
      </c>
      <c r="B77" s="74" t="n">
        <v>2410096</v>
      </c>
      <c r="C77" s="75" t="n">
        <v>3122245002131</v>
      </c>
      <c r="D77" s="76" t="inlineStr">
        <is>
          <t>Yasmithasri B</t>
        </is>
      </c>
      <c r="E77" s="76" t="inlineStr">
        <is>
          <t>yasmithasri2410096@ssn.edu.in</t>
        </is>
      </c>
      <c r="F77" s="71" t="inlineStr">
        <is>
          <t>A</t>
        </is>
      </c>
      <c r="G77" s="71" t="inlineStr">
        <is>
          <t>A</t>
        </is>
      </c>
      <c r="H77" s="71" t="inlineStr">
        <is>
          <t>P</t>
        </is>
      </c>
      <c r="I77" s="71" t="inlineStr">
        <is>
          <t>P</t>
        </is>
      </c>
      <c r="J77" s="165" t="inlineStr">
        <is>
          <t>P</t>
        </is>
      </c>
      <c r="K77" s="71" t="n"/>
      <c r="L77" s="71" t="n"/>
      <c r="M77" s="7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1" t="n"/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 t="n"/>
      <c r="BJ77" s="71">
        <f>COUNTIF(F77:BI77,"P")</f>
        <v/>
      </c>
      <c r="BK77" s="71">
        <f>SUM((BJ77/BJ12)*100)</f>
        <v/>
      </c>
    </row>
    <row r="78" ht="21" customHeight="1" s="55">
      <c r="A78" s="73" t="n">
        <v>66</v>
      </c>
      <c r="B78" s="74" t="n">
        <v>2410990</v>
      </c>
      <c r="C78" s="75" t="n">
        <v>3122245002132</v>
      </c>
      <c r="D78" s="76" t="inlineStr">
        <is>
          <t>Yuvanitha A R</t>
        </is>
      </c>
      <c r="E78" s="76" t="inlineStr">
        <is>
          <t>yuvanitha2410990@ssn.edu.in</t>
        </is>
      </c>
      <c r="F78" s="71" t="inlineStr">
        <is>
          <t>A</t>
        </is>
      </c>
      <c r="G78" s="71" t="inlineStr">
        <is>
          <t>A</t>
        </is>
      </c>
      <c r="H78" s="71" t="inlineStr">
        <is>
          <t>A</t>
        </is>
      </c>
      <c r="I78" s="71" t="inlineStr">
        <is>
          <t>A</t>
        </is>
      </c>
      <c r="J78" s="165" t="inlineStr">
        <is>
          <t>P</t>
        </is>
      </c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1" t="n"/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 t="n"/>
      <c r="BJ78" s="71">
        <f>COUNTIF(F78:BI78,"P")</f>
        <v/>
      </c>
      <c r="BK78" s="71">
        <f>SUM((BJ78/BJ12)*100)</f>
        <v/>
      </c>
    </row>
    <row r="79" ht="21" customHeight="1" s="55">
      <c r="A79" s="73" t="n">
        <v>67</v>
      </c>
      <c r="B79" s="74" t="n">
        <v>2412049</v>
      </c>
      <c r="C79" s="75" t="n">
        <v>3122245002304</v>
      </c>
      <c r="D79" s="76" t="inlineStr">
        <is>
          <t>Darshan S S</t>
        </is>
      </c>
      <c r="E79" s="76" t="inlineStr">
        <is>
          <t>darshan2412049@ssn.edu.in</t>
        </is>
      </c>
      <c r="F79" s="71" t="inlineStr">
        <is>
          <t>A</t>
        </is>
      </c>
      <c r="G79" s="71" t="inlineStr">
        <is>
          <t>A</t>
        </is>
      </c>
      <c r="H79" s="71" t="inlineStr">
        <is>
          <t>A</t>
        </is>
      </c>
      <c r="I79" s="71" t="inlineStr">
        <is>
          <t>A</t>
        </is>
      </c>
      <c r="J79" s="165" t="inlineStr">
        <is>
          <t>P</t>
        </is>
      </c>
      <c r="K79" s="71" t="n"/>
      <c r="L79" s="71" t="n"/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  <c r="Z79" s="71" t="n"/>
      <c r="AA79" s="71" t="n"/>
      <c r="AB79" s="71" t="n"/>
      <c r="AC79" s="7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 t="n"/>
      <c r="BJ79" s="71">
        <f>COUNTIF(F79:BI79,"P")</f>
        <v/>
      </c>
      <c r="BK79" s="71">
        <f>SUM((BJ79/BJ12)*100)</f>
        <v/>
      </c>
    </row>
    <row r="80" ht="21" customHeight="1" s="55">
      <c r="A80" s="73" t="n">
        <v>68</v>
      </c>
      <c r="B80" s="74" t="n">
        <v>2412046</v>
      </c>
      <c r="C80" s="75" t="n">
        <v>3122245002307</v>
      </c>
      <c r="D80" s="76" t="inlineStr">
        <is>
          <t>Manojkumar G</t>
        </is>
      </c>
      <c r="E80" s="76" t="inlineStr">
        <is>
          <t>manojkumar2412046@ssn.edu.in</t>
        </is>
      </c>
      <c r="F80" s="71" t="inlineStr">
        <is>
          <t>P</t>
        </is>
      </c>
      <c r="G80" s="71" t="inlineStr">
        <is>
          <t>P</t>
        </is>
      </c>
      <c r="H80" s="71" t="inlineStr">
        <is>
          <t>A</t>
        </is>
      </c>
      <c r="I80" s="71" t="inlineStr">
        <is>
          <t>A</t>
        </is>
      </c>
      <c r="J80" s="165" t="inlineStr">
        <is>
          <t>P</t>
        </is>
      </c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 t="n"/>
      <c r="BJ80" s="71">
        <f>COUNTIF(F80:BI80,"P")</f>
        <v/>
      </c>
      <c r="BK80" s="71">
        <f>SUM((BJ80/BJ12)*100)</f>
        <v/>
      </c>
    </row>
    <row r="81" ht="21" customHeight="1" s="55">
      <c r="A81" s="73" t="n">
        <v>69</v>
      </c>
      <c r="B81" s="74" t="n">
        <v>2412010</v>
      </c>
      <c r="C81" s="75" t="n">
        <v>3122245002308</v>
      </c>
      <c r="D81" s="76" t="inlineStr">
        <is>
          <t>Rhea Jenifer P</t>
        </is>
      </c>
      <c r="E81" s="76" t="inlineStr">
        <is>
          <t>rheajenifer2412010@ssn.edu.in</t>
        </is>
      </c>
      <c r="F81" s="71" t="inlineStr">
        <is>
          <t>A</t>
        </is>
      </c>
      <c r="G81" s="71" t="inlineStr">
        <is>
          <t>A</t>
        </is>
      </c>
      <c r="H81" s="71" t="inlineStr">
        <is>
          <t>A</t>
        </is>
      </c>
      <c r="I81" s="71" t="inlineStr">
        <is>
          <t>A</t>
        </is>
      </c>
      <c r="J81" s="165" t="inlineStr">
        <is>
          <t>P</t>
        </is>
      </c>
      <c r="K81" s="71" t="n"/>
      <c r="L81" s="71" t="n"/>
      <c r="M81" s="71" t="n"/>
      <c r="N81" s="71" t="n"/>
      <c r="O81" s="71" t="n"/>
      <c r="P81" s="71" t="n"/>
      <c r="Q81" s="71" t="n"/>
      <c r="R81" s="71" t="n"/>
      <c r="S81" s="71" t="n"/>
      <c r="T81" s="71" t="n"/>
      <c r="U81" s="71" t="n"/>
      <c r="V81" s="71" t="n"/>
      <c r="W81" s="71" t="n"/>
      <c r="X81" s="71" t="n"/>
      <c r="Y81" s="71" t="n"/>
      <c r="Z81" s="71" t="n"/>
      <c r="AA81" s="71" t="n"/>
      <c r="AB81" s="71" t="n"/>
      <c r="AC81" s="71" t="n"/>
      <c r="AD81" s="71" t="n"/>
      <c r="AE81" s="71" t="n"/>
      <c r="AF81" s="71" t="n"/>
      <c r="AG81" s="71" t="n"/>
      <c r="AH81" s="71" t="n"/>
      <c r="AI81" s="71" t="n"/>
      <c r="AJ81" s="71" t="n"/>
      <c r="AK81" s="71" t="n"/>
      <c r="AL81" s="71" t="n"/>
      <c r="AM81" s="71" t="n"/>
      <c r="AN81" s="71" t="n"/>
      <c r="AO81" s="71" t="n"/>
      <c r="AP81" s="71" t="n"/>
      <c r="AQ81" s="71" t="n"/>
      <c r="AR81" s="71" t="n"/>
      <c r="AS81" s="71" t="n"/>
      <c r="AT81" s="71" t="n"/>
      <c r="AU81" s="71" t="n"/>
      <c r="AV81" s="71" t="n"/>
      <c r="AW81" s="71" t="n"/>
      <c r="AX81" s="71" t="n"/>
      <c r="AY81" s="71" t="n"/>
      <c r="AZ81" s="71" t="n"/>
      <c r="BA81" s="71" t="n"/>
      <c r="BB81" s="71" t="n"/>
      <c r="BC81" s="71" t="n"/>
      <c r="BD81" s="71" t="n"/>
      <c r="BE81" s="71" t="n"/>
      <c r="BF81" s="71" t="n"/>
      <c r="BG81" s="71" t="n"/>
      <c r="BH81" s="71" t="n"/>
      <c r="BI81" s="71" t="n"/>
      <c r="BJ81" s="71">
        <f>COUNTIF(F81:BI81,"P")</f>
        <v/>
      </c>
      <c r="BK81" s="71">
        <f>SUM((BJ81/BJ12)*100)</f>
        <v/>
      </c>
    </row>
    <row r="82" ht="21" customHeight="1" s="55">
      <c r="A82" s="73" t="n">
        <v>70</v>
      </c>
      <c r="B82" s="74" t="n">
        <v>2412073</v>
      </c>
      <c r="C82" s="75" t="n">
        <v>3122245002309</v>
      </c>
      <c r="D82" s="76" t="inlineStr">
        <is>
          <t>Sadhika T S</t>
        </is>
      </c>
      <c r="E82" s="76" t="inlineStr">
        <is>
          <t>sadhika2412073@ssn.edu.in</t>
        </is>
      </c>
      <c r="F82" s="71" t="inlineStr">
        <is>
          <t>A</t>
        </is>
      </c>
      <c r="G82" s="71" t="inlineStr">
        <is>
          <t>A</t>
        </is>
      </c>
      <c r="H82" s="71" t="inlineStr">
        <is>
          <t>P</t>
        </is>
      </c>
      <c r="I82" s="71" t="inlineStr">
        <is>
          <t>P</t>
        </is>
      </c>
      <c r="J82" s="165" t="inlineStr">
        <is>
          <t>P</t>
        </is>
      </c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1" t="n"/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 t="n"/>
      <c r="BJ82" s="71">
        <f>COUNTIF(F82:BI82,"P")</f>
        <v/>
      </c>
      <c r="BK82" s="71">
        <f>SUM((BJ82/BJ12)*100)</f>
        <v/>
      </c>
    </row>
    <row r="83" ht="24" customHeight="1" s="55">
      <c r="A83" s="73" t="n">
        <v>71</v>
      </c>
      <c r="B83" s="74" t="n">
        <v>2412001</v>
      </c>
      <c r="C83" s="75" t="n">
        <v>3122245002310</v>
      </c>
      <c r="D83" s="76" t="inlineStr">
        <is>
          <t>Sundararajan R</t>
        </is>
      </c>
      <c r="E83" s="76" t="inlineStr">
        <is>
          <t>sundararajan2412001@ssn.edu.in</t>
        </is>
      </c>
      <c r="F83" s="71" t="inlineStr">
        <is>
          <t>P</t>
        </is>
      </c>
      <c r="G83" s="71" t="inlineStr">
        <is>
          <t>P</t>
        </is>
      </c>
      <c r="H83" s="71" t="inlineStr">
        <is>
          <t>P</t>
        </is>
      </c>
      <c r="I83" s="71" t="inlineStr">
        <is>
          <t>P</t>
        </is>
      </c>
      <c r="J83" s="165" t="inlineStr">
        <is>
          <t>A</t>
        </is>
      </c>
      <c r="K83" s="71" t="n"/>
      <c r="L83" s="71" t="n"/>
      <c r="M83" s="71" t="n"/>
      <c r="N83" s="71" t="n"/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1" t="n"/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  <c r="BJ83" s="71" t="n"/>
      <c r="BK83" s="71" t="n"/>
    </row>
    <row r="84" ht="12.75" customHeight="1" s="55">
      <c r="B84" s="77" t="n"/>
      <c r="C84" s="77" t="n"/>
    </row>
    <row r="85" ht="12.75" customHeight="1" s="55">
      <c r="B85" s="77" t="n"/>
      <c r="C85" s="77" t="n"/>
    </row>
    <row r="86" ht="12.75" customHeight="1" s="55">
      <c r="B86" s="77" t="n"/>
      <c r="C86" s="77" t="n"/>
    </row>
    <row r="87" ht="12.75" customHeight="1" s="55">
      <c r="B87" s="77" t="n"/>
      <c r="C87" s="77" t="n"/>
    </row>
    <row r="88" ht="12.75" customHeight="1" s="55">
      <c r="B88" s="77" t="n"/>
      <c r="C88" s="77" t="n"/>
    </row>
    <row r="89" ht="12.75" customHeight="1" s="55">
      <c r="B89" s="77" t="n"/>
      <c r="C89" s="77" t="n"/>
    </row>
    <row r="90" ht="12.75" customHeight="1" s="55">
      <c r="B90" s="77" t="n"/>
      <c r="C90" s="77" t="n"/>
    </row>
    <row r="91" ht="39" customHeight="1" s="55">
      <c r="B91" s="77" t="n"/>
      <c r="C91" s="77" t="n"/>
      <c r="E91" s="71" t="inlineStr">
        <is>
          <t>Total No. of Students</t>
        </is>
      </c>
      <c r="F91" s="71" t="n">
        <v>71</v>
      </c>
      <c r="G91" s="71" t="n"/>
      <c r="H91" s="71" t="n"/>
      <c r="I91" s="71" t="n"/>
      <c r="J91" s="166" t="n">
        <v>71</v>
      </c>
      <c r="K91" s="71" t="n"/>
      <c r="L91" s="71" t="n"/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  <c r="BK91" s="71" t="n"/>
    </row>
    <row r="92" ht="39" customHeight="1" s="55">
      <c r="B92" s="77" t="n"/>
      <c r="C92" s="77" t="n"/>
      <c r="E92" s="71" t="inlineStr">
        <is>
          <t>Total No. of Presentees</t>
        </is>
      </c>
      <c r="F92" s="71">
        <f>COUNTIF(F13:F82,"P")</f>
        <v/>
      </c>
      <c r="G92" s="71" t="n"/>
      <c r="H92" s="71" t="n"/>
      <c r="I92" s="71" t="n"/>
      <c r="J92" s="166">
        <f>COUNTIF(J13:J83,"P")</f>
        <v/>
      </c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  <c r="BK92" s="71" t="n"/>
    </row>
    <row r="93" ht="39" customHeight="1" s="55">
      <c r="B93" s="77" t="n"/>
      <c r="C93" s="77" t="n"/>
      <c r="E93" s="71" t="inlineStr">
        <is>
          <t>Total No. of Absentees</t>
        </is>
      </c>
      <c r="F93" s="71">
        <f>COUNTIF(F13:F82,"A")</f>
        <v/>
      </c>
      <c r="G93" s="71" t="n"/>
      <c r="H93" s="71" t="n"/>
      <c r="I93" s="71" t="n"/>
      <c r="J93" s="166">
        <f>COUNTIF(J13:J83,"A")</f>
        <v/>
      </c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  <c r="BK93" s="71" t="n"/>
    </row>
    <row r="94" ht="39" customHeight="1" s="55">
      <c r="B94" s="77" t="n"/>
      <c r="C94" s="77" t="n"/>
      <c r="E94" s="71" t="inlineStr">
        <is>
          <t>Presentees Percentage</t>
        </is>
      </c>
      <c r="F94" s="71">
        <f>SUM((F92/F91)*100)</f>
        <v/>
      </c>
      <c r="G94" s="71" t="n"/>
      <c r="H94" s="71" t="n"/>
      <c r="I94" s="71" t="n"/>
      <c r="J94" s="166">
        <f>SUM((J92/J91)*100)</f>
        <v/>
      </c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1" t="n"/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  <c r="BJ94" s="71" t="n"/>
      <c r="BK94" s="71" t="n"/>
    </row>
    <row r="95" ht="39" customHeight="1" s="55">
      <c r="B95" s="77" t="n"/>
      <c r="C95" s="77" t="n"/>
      <c r="E95" s="71" t="inlineStr">
        <is>
          <t>Absentees Percentage</t>
        </is>
      </c>
      <c r="F95" s="71">
        <f>SUM((F93/F91)*100)</f>
        <v/>
      </c>
      <c r="G95" s="71" t="n"/>
      <c r="H95" s="71" t="n"/>
      <c r="I95" s="71" t="n"/>
      <c r="J95" s="166">
        <f>SUM((J93/J91)*100)</f>
        <v/>
      </c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  <c r="BJ95" s="71" t="n"/>
      <c r="BK95" s="71" t="n"/>
    </row>
    <row r="96" ht="39" customHeight="1" s="55">
      <c r="B96" s="77" t="n"/>
      <c r="C96" s="77" t="n"/>
    </row>
    <row r="97" ht="39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1">
    <mergeCell ref="F11:BI11"/>
    <mergeCell ref="A1:BI1"/>
    <mergeCell ref="F9:O9"/>
    <mergeCell ref="B11:B12"/>
    <mergeCell ref="A7:J7"/>
    <mergeCell ref="C11:C12"/>
    <mergeCell ref="A3:BI3"/>
    <mergeCell ref="D11:D12"/>
    <mergeCell ref="E11:E12"/>
    <mergeCell ref="A11:A12"/>
    <mergeCell ref="A2:BI2"/>
  </mergeCells>
  <conditionalFormatting sqref="B13:B83">
    <cfRule type="expression" rank="0" priority="2" equalAverage="0" aboveAverage="0" dxfId="0" text="" percent="0" bottom="0">
      <formula>AND(COUNTIF($B$10:$B$22,B13)+COUNTIF($B$24:$B$62,B13)&gt;1,NOT(ISBLANK(B13)))</formula>
    </cfRule>
  </conditionalFormatting>
  <hyperlinks>
    <hyperlink xmlns:r="http://schemas.openxmlformats.org/officeDocument/2006/relationships" ref="AV7" display="ug2024-it@ssn.edu.in 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M1000"/>
  <sheetViews>
    <sheetView showFormulas="0" showGridLines="1" showRowColHeaders="1" showZeros="1" rightToLeft="0" tabSelected="1" showOutlineSymbols="1" defaultGridColor="1" view="normal" topLeftCell="L70" colorId="64" zoomScale="100" zoomScaleNormal="100" zoomScalePageLayoutView="100" workbookViewId="0">
      <selection pane="topLeft" activeCell="Y12" activeCellId="0" sqref="Y12:Y98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13" customWidth="1" style="54" min="6" max="13"/>
    <col width="9.75" customWidth="1" style="54" min="14" max="14"/>
    <col width="9" customWidth="1" style="54" min="15" max="15"/>
    <col width="10.38" customWidth="1" style="54" min="16" max="16"/>
    <col width="9.630000000000001" customWidth="1" style="54" min="17" max="17"/>
    <col width="8" customWidth="1" style="54" min="18" max="65"/>
    <col width="13" customWidth="1" style="55" min="25" max="25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ATTENDANCE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  <c r="AY5" s="60" t="inlineStr">
        <is>
          <t>Batch : 2024-28</t>
        </is>
      </c>
    </row>
    <row r="6" ht="10.5" customHeight="1" s="55">
      <c r="A6" s="58" t="n"/>
      <c r="B6" s="59" t="n"/>
      <c r="C6" s="59" t="n"/>
    </row>
    <row r="7" ht="28.5" customHeight="1" s="55">
      <c r="A7" s="61" t="inlineStr">
        <is>
          <t>Sub Code &amp; Sub Name : UIT3562 - Principles of Operating Systems</t>
        </is>
      </c>
      <c r="AX7" s="62" t="inlineStr">
        <is>
          <t xml:space="preserve">ug2024-it@ssn.edu.in </t>
        </is>
      </c>
    </row>
    <row r="8" ht="30.75" customHeight="1" s="55">
      <c r="A8" s="61" t="inlineStr">
        <is>
          <t>Staff Name : Dr. I. Joe Louis Paul</t>
        </is>
      </c>
      <c r="E8" s="64" t="n"/>
    </row>
    <row r="9" ht="30.75" customHeight="1" s="55">
      <c r="A9" s="61" t="n"/>
      <c r="B9" s="61" t="n"/>
      <c r="C9" s="61" t="n"/>
      <c r="D9" s="61" t="n"/>
      <c r="E9" s="64" t="n"/>
    </row>
    <row r="10" ht="30.75" customHeight="1" s="55">
      <c r="A10" s="61" t="n"/>
      <c r="B10" s="61" t="n"/>
      <c r="C10" s="61" t="n"/>
      <c r="D10" s="61" t="n"/>
      <c r="E10" s="64" t="n"/>
      <c r="F10" s="65" t="inlineStr">
        <is>
          <t>Mark  "P" for presentees , "A" for absentees</t>
        </is>
      </c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</row>
    <row r="11" ht="31.5" customHeight="1" s="55">
      <c r="A11" s="67" t="inlineStr">
        <is>
          <t>S.No</t>
        </is>
      </c>
      <c r="B11" s="67" t="inlineStr">
        <is>
          <t>Digital Id</t>
        </is>
      </c>
      <c r="C11" s="67" t="inlineStr">
        <is>
          <t>Register Number</t>
        </is>
      </c>
      <c r="D11" s="67" t="inlineStr">
        <is>
          <t>Name as per 12th Mark Sheet</t>
        </is>
      </c>
      <c r="E11" s="67" t="inlineStr">
        <is>
          <t>SSN Email ID</t>
        </is>
      </c>
      <c r="F11" s="68" t="inlineStr">
        <is>
          <t>Date</t>
        </is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  <c r="AX11" s="69" t="n"/>
      <c r="AY11" s="69" t="n"/>
      <c r="AZ11" s="69" t="n"/>
      <c r="BA11" s="69" t="n"/>
      <c r="BB11" s="69" t="n"/>
      <c r="BC11" s="69" t="n"/>
      <c r="BD11" s="69" t="n"/>
      <c r="BE11" s="69" t="n"/>
      <c r="BF11" s="69" t="n"/>
      <c r="BG11" s="69" t="n"/>
      <c r="BH11" s="69" t="n"/>
      <c r="BI11" s="69" t="n"/>
      <c r="BJ11" s="69" t="n"/>
      <c r="BK11" s="70" t="n"/>
      <c r="BL11" s="71" t="n"/>
      <c r="BM11" s="71" t="n"/>
    </row>
    <row r="12" ht="64.90000000000001" customHeight="1" s="55">
      <c r="A12" s="72" t="n"/>
      <c r="B12" s="72" t="n"/>
      <c r="C12" s="72" t="n"/>
      <c r="D12" s="72" t="n"/>
      <c r="E12" s="72" t="n"/>
      <c r="F12" s="80" t="inlineStr">
        <is>
          <t>29/06/26           1st Hour</t>
        </is>
      </c>
      <c r="G12" s="78" t="inlineStr">
        <is>
          <t>30/06/26           4th Hour</t>
        </is>
      </c>
      <c r="H12" s="79" t="inlineStr">
        <is>
          <t>01/07/26                           3rd Hour</t>
        </is>
      </c>
      <c r="I12" s="79" t="inlineStr">
        <is>
          <t>13/07/26                           1st Hour</t>
        </is>
      </c>
      <c r="J12" s="78" t="inlineStr">
        <is>
          <t>13/07/26                           2nd Hour</t>
        </is>
      </c>
      <c r="K12" s="78" t="inlineStr">
        <is>
          <t>14/07/26           4th Hour</t>
        </is>
      </c>
      <c r="L12" s="78" t="inlineStr">
        <is>
          <t>15/07/26                                         3rd Hour</t>
        </is>
      </c>
      <c r="M12" s="78" t="inlineStr">
        <is>
          <t>15/07/26                                         4th Hour</t>
        </is>
      </c>
      <c r="N12" s="78" t="inlineStr">
        <is>
          <t>20/07                  1st Hour</t>
        </is>
      </c>
      <c r="O12" s="78" t="inlineStr">
        <is>
          <t>21/07                  4th Hour</t>
        </is>
      </c>
      <c r="P12" s="78" t="inlineStr">
        <is>
          <t>22/07                  3rd Hour</t>
        </is>
      </c>
      <c r="Q12" s="78" t="inlineStr">
        <is>
          <t>27/07                  1st Hour</t>
        </is>
      </c>
      <c r="R12" s="78" t="inlineStr">
        <is>
          <t>28/07                  4th Hour</t>
        </is>
      </c>
      <c r="S12" s="78" t="inlineStr">
        <is>
          <t>29/07   3rd Hour</t>
        </is>
      </c>
      <c r="T12" s="78" t="inlineStr">
        <is>
          <t>03/08                  1st Hour</t>
        </is>
      </c>
      <c r="U12" s="78" t="inlineStr">
        <is>
          <t>04/08                  4th Hour</t>
        </is>
      </c>
      <c r="V12" s="78" t="inlineStr">
        <is>
          <t>11/08                  4th Hour</t>
        </is>
      </c>
      <c r="W12" s="78" t="inlineStr">
        <is>
          <t>12/08                  3rd Hour</t>
        </is>
      </c>
      <c r="X12" s="78" t="inlineStr">
        <is>
          <t>17/08                  1st Hour</t>
        </is>
      </c>
      <c r="Y12" s="80" t="n"/>
      <c r="Z12" s="81" t="n"/>
      <c r="AA12" s="81" t="n"/>
      <c r="AB12" s="81" t="n"/>
      <c r="AC12" s="8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 t="n"/>
      <c r="BJ12" s="71" t="n"/>
      <c r="BK12" s="71" t="n"/>
      <c r="BL12" s="71">
        <f>COUNTA(F12:BK12)</f>
        <v/>
      </c>
      <c r="BM12" s="71" t="n"/>
    </row>
    <row r="13" ht="21" customHeight="1" s="55">
      <c r="A13" s="73" t="n">
        <v>1</v>
      </c>
      <c r="B13" s="74" t="n">
        <v>2410606</v>
      </c>
      <c r="C13" s="75" t="n">
        <v>3122245002067</v>
      </c>
      <c r="D13" s="76" t="inlineStr">
        <is>
          <t>Pragalya T</t>
        </is>
      </c>
      <c r="E13" s="76" t="inlineStr">
        <is>
          <t>pragalya2410606@ssn.edu.in</t>
        </is>
      </c>
      <c r="F13" s="167" t="inlineStr">
        <is>
          <t>A</t>
        </is>
      </c>
      <c r="G13" s="82" t="inlineStr">
        <is>
          <t>P</t>
        </is>
      </c>
      <c r="H13" s="82" t="inlineStr">
        <is>
          <t>P</t>
        </is>
      </c>
      <c r="I13" s="82" t="inlineStr">
        <is>
          <t>P</t>
        </is>
      </c>
      <c r="J13" s="82" t="inlineStr">
        <is>
          <t>P</t>
        </is>
      </c>
      <c r="K13" s="82" t="inlineStr">
        <is>
          <t>P</t>
        </is>
      </c>
      <c r="L13" s="82" t="inlineStr">
        <is>
          <t>P</t>
        </is>
      </c>
      <c r="M13" s="82" t="inlineStr">
        <is>
          <t>P</t>
        </is>
      </c>
      <c r="N13" s="83" t="inlineStr">
        <is>
          <t>A</t>
        </is>
      </c>
      <c r="O13" s="83" t="inlineStr">
        <is>
          <t>P</t>
        </is>
      </c>
      <c r="P13" s="83" t="inlineStr">
        <is>
          <t>P</t>
        </is>
      </c>
      <c r="Q13" s="83" t="inlineStr">
        <is>
          <t>P</t>
        </is>
      </c>
      <c r="R13" s="83" t="inlineStr">
        <is>
          <t>P</t>
        </is>
      </c>
      <c r="S13" s="83" t="inlineStr">
        <is>
          <t>P</t>
        </is>
      </c>
      <c r="T13" s="83" t="inlineStr">
        <is>
          <t>A</t>
        </is>
      </c>
      <c r="U13" s="83" t="inlineStr">
        <is>
          <t>P</t>
        </is>
      </c>
      <c r="V13" s="83" t="inlineStr">
        <is>
          <t>P</t>
        </is>
      </c>
      <c r="W13" s="83" t="inlineStr">
        <is>
          <t>A</t>
        </is>
      </c>
      <c r="X13" s="83" t="inlineStr">
        <is>
          <t>A</t>
        </is>
      </c>
      <c r="Y13" s="165" t="n"/>
      <c r="Z13" s="81" t="n"/>
      <c r="AA13" s="81" t="n"/>
      <c r="AB13" s="81" t="n"/>
      <c r="AC13" s="8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1" t="n"/>
      <c r="BF13" s="71" t="n"/>
      <c r="BG13" s="71" t="n"/>
      <c r="BH13" s="71" t="n"/>
      <c r="BI13" s="71" t="n"/>
      <c r="BJ13" s="71" t="n"/>
      <c r="BK13" s="71" t="n"/>
      <c r="BL13" s="71">
        <f>COUNTIF(F13:BK13,"P")</f>
        <v/>
      </c>
      <c r="BM13" s="71">
        <f>SUM((BL13/BL12)*100)</f>
        <v/>
      </c>
    </row>
    <row r="14" ht="21" customHeight="1" s="55">
      <c r="A14" s="73" t="n">
        <v>2</v>
      </c>
      <c r="B14" s="74" t="n">
        <v>2410674</v>
      </c>
      <c r="C14" s="75" t="n">
        <v>3122245002068</v>
      </c>
      <c r="D14" s="76" t="inlineStr">
        <is>
          <t>Praghathish G T</t>
        </is>
      </c>
      <c r="E14" s="76" t="inlineStr">
        <is>
          <t>praghathish2410674@ssn.edu.in</t>
        </is>
      </c>
      <c r="F14" s="167" t="inlineStr">
        <is>
          <t>P</t>
        </is>
      </c>
      <c r="G14" s="82" t="inlineStr">
        <is>
          <t>P</t>
        </is>
      </c>
      <c r="H14" s="82" t="inlineStr">
        <is>
          <t>P</t>
        </is>
      </c>
      <c r="I14" s="82" t="inlineStr">
        <is>
          <t>P</t>
        </is>
      </c>
      <c r="J14" s="82" t="inlineStr">
        <is>
          <t>P</t>
        </is>
      </c>
      <c r="K14" s="82" t="inlineStr">
        <is>
          <t>P</t>
        </is>
      </c>
      <c r="L14" s="82" t="inlineStr">
        <is>
          <t>P</t>
        </is>
      </c>
      <c r="M14" s="82" t="inlineStr">
        <is>
          <t>P</t>
        </is>
      </c>
      <c r="N14" s="83" t="inlineStr">
        <is>
          <t>A</t>
        </is>
      </c>
      <c r="O14" s="83" t="inlineStr">
        <is>
          <t>P</t>
        </is>
      </c>
      <c r="P14" s="83" t="inlineStr">
        <is>
          <t>A</t>
        </is>
      </c>
      <c r="Q14" s="83" t="inlineStr">
        <is>
          <t>P</t>
        </is>
      </c>
      <c r="R14" s="83" t="inlineStr">
        <is>
          <t>P</t>
        </is>
      </c>
      <c r="S14" s="83" t="inlineStr">
        <is>
          <t>P</t>
        </is>
      </c>
      <c r="T14" s="83" t="inlineStr">
        <is>
          <t>P</t>
        </is>
      </c>
      <c r="U14" s="83" t="inlineStr">
        <is>
          <t>P</t>
        </is>
      </c>
      <c r="V14" s="83" t="inlineStr">
        <is>
          <t>P</t>
        </is>
      </c>
      <c r="W14" s="83" t="inlineStr">
        <is>
          <t>A</t>
        </is>
      </c>
      <c r="X14" s="83" t="inlineStr">
        <is>
          <t>P</t>
        </is>
      </c>
      <c r="Y14" s="165" t="n"/>
      <c r="Z14" s="81" t="n"/>
      <c r="AA14" s="81" t="n"/>
      <c r="AB14" s="81" t="n"/>
      <c r="AC14" s="8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1" t="n"/>
      <c r="BF14" s="71" t="n"/>
      <c r="BG14" s="71" t="n"/>
      <c r="BH14" s="71" t="n"/>
      <c r="BI14" s="71" t="n"/>
      <c r="BJ14" s="71" t="n"/>
      <c r="BK14" s="71" t="n"/>
      <c r="BL14" s="71">
        <f>COUNTIF(F14:BK14,"P")</f>
        <v/>
      </c>
      <c r="BM14" s="71">
        <f>SUM((BL14/BL12)*100)</f>
        <v/>
      </c>
    </row>
    <row r="15" ht="21" customHeight="1" s="55">
      <c r="A15" s="73" t="n">
        <v>3</v>
      </c>
      <c r="B15" s="74" t="n">
        <v>2410080</v>
      </c>
      <c r="C15" s="75" t="n">
        <v>3122245002069</v>
      </c>
      <c r="D15" s="76" t="inlineStr">
        <is>
          <t>Pranav C K</t>
        </is>
      </c>
      <c r="E15" s="76" t="inlineStr">
        <is>
          <t>pranav2410080@ssn.edu.in</t>
        </is>
      </c>
      <c r="F15" s="167" t="inlineStr">
        <is>
          <t>P</t>
        </is>
      </c>
      <c r="G15" s="82" t="inlineStr">
        <is>
          <t>A</t>
        </is>
      </c>
      <c r="H15" s="82" t="inlineStr">
        <is>
          <t>A</t>
        </is>
      </c>
      <c r="I15" s="82" t="inlineStr">
        <is>
          <t>P</t>
        </is>
      </c>
      <c r="J15" s="82" t="inlineStr">
        <is>
          <t>P</t>
        </is>
      </c>
      <c r="K15" s="82" t="inlineStr">
        <is>
          <t>P</t>
        </is>
      </c>
      <c r="L15" s="82" t="inlineStr">
        <is>
          <t>A</t>
        </is>
      </c>
      <c r="M15" s="82" t="inlineStr">
        <is>
          <t>A</t>
        </is>
      </c>
      <c r="N15" s="83" t="inlineStr">
        <is>
          <t>A</t>
        </is>
      </c>
      <c r="O15" s="83" t="inlineStr">
        <is>
          <t>P</t>
        </is>
      </c>
      <c r="P15" s="83" t="inlineStr">
        <is>
          <t>A</t>
        </is>
      </c>
      <c r="Q15" s="83" t="inlineStr">
        <is>
          <t>A</t>
        </is>
      </c>
      <c r="R15" s="83" t="inlineStr">
        <is>
          <t>A</t>
        </is>
      </c>
      <c r="S15" s="83" t="inlineStr">
        <is>
          <t>P</t>
        </is>
      </c>
      <c r="T15" s="83" t="inlineStr">
        <is>
          <t>A</t>
        </is>
      </c>
      <c r="U15" s="83" t="inlineStr">
        <is>
          <t>P</t>
        </is>
      </c>
      <c r="V15" s="83" t="inlineStr">
        <is>
          <t>P</t>
        </is>
      </c>
      <c r="W15" s="83" t="inlineStr">
        <is>
          <t>A</t>
        </is>
      </c>
      <c r="X15" s="83" t="inlineStr">
        <is>
          <t>A</t>
        </is>
      </c>
      <c r="Y15" s="165" t="n"/>
      <c r="Z15" s="81" t="n"/>
      <c r="AA15" s="81" t="n"/>
      <c r="AB15" s="81" t="n"/>
      <c r="AC15" s="8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1" t="n"/>
      <c r="BF15" s="71" t="n"/>
      <c r="BG15" s="71" t="n"/>
      <c r="BH15" s="71" t="n"/>
      <c r="BI15" s="71" t="n"/>
      <c r="BJ15" s="71" t="n"/>
      <c r="BK15" s="71" t="n"/>
      <c r="BL15" s="71">
        <f>COUNTIF(F15:BK15,"P")</f>
        <v/>
      </c>
      <c r="BM15" s="71">
        <f>SUM((BL15/BL12)*100)</f>
        <v/>
      </c>
    </row>
    <row r="16" ht="21" customHeight="1" s="55">
      <c r="A16" s="73" t="n">
        <v>4</v>
      </c>
      <c r="B16" s="74" t="n">
        <v>2410328</v>
      </c>
      <c r="C16" s="75" t="n">
        <v>3122245002070</v>
      </c>
      <c r="D16" s="76" t="inlineStr">
        <is>
          <t>Pranav Vasudevan</t>
        </is>
      </c>
      <c r="E16" s="76" t="inlineStr">
        <is>
          <t>pranav2410328@ssn.edu.in</t>
        </is>
      </c>
      <c r="F16" s="167" t="inlineStr">
        <is>
          <t>P</t>
        </is>
      </c>
      <c r="G16" s="82" t="inlineStr">
        <is>
          <t>P</t>
        </is>
      </c>
      <c r="H16" s="82" t="inlineStr">
        <is>
          <t>P</t>
        </is>
      </c>
      <c r="I16" s="82" t="inlineStr">
        <is>
          <t>A</t>
        </is>
      </c>
      <c r="J16" s="82" t="inlineStr">
        <is>
          <t>A</t>
        </is>
      </c>
      <c r="K16" s="82" t="inlineStr">
        <is>
          <t>A</t>
        </is>
      </c>
      <c r="L16" s="82" t="inlineStr">
        <is>
          <t>P</t>
        </is>
      </c>
      <c r="M16" s="82" t="inlineStr">
        <is>
          <t>P</t>
        </is>
      </c>
      <c r="N16" s="83" t="inlineStr">
        <is>
          <t>A</t>
        </is>
      </c>
      <c r="O16" s="83" t="inlineStr">
        <is>
          <t>P</t>
        </is>
      </c>
      <c r="P16" s="83" t="inlineStr">
        <is>
          <t>P</t>
        </is>
      </c>
      <c r="Q16" s="83" t="inlineStr">
        <is>
          <t>A</t>
        </is>
      </c>
      <c r="R16" s="83" t="inlineStr">
        <is>
          <t>P</t>
        </is>
      </c>
      <c r="S16" s="83" t="inlineStr">
        <is>
          <t>P</t>
        </is>
      </c>
      <c r="T16" s="83" t="inlineStr">
        <is>
          <t>A</t>
        </is>
      </c>
      <c r="U16" s="83" t="inlineStr">
        <is>
          <t>P</t>
        </is>
      </c>
      <c r="V16" s="83" t="inlineStr">
        <is>
          <t>P</t>
        </is>
      </c>
      <c r="W16" s="83" t="inlineStr">
        <is>
          <t>A</t>
        </is>
      </c>
      <c r="X16" s="83" t="inlineStr">
        <is>
          <t>P</t>
        </is>
      </c>
      <c r="Y16" s="165" t="n"/>
      <c r="Z16" s="81" t="n"/>
      <c r="AA16" s="81" t="n"/>
      <c r="AB16" s="81" t="n"/>
      <c r="AC16" s="8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1" t="n"/>
      <c r="BF16" s="71" t="n"/>
      <c r="BG16" s="71" t="n"/>
      <c r="BH16" s="71" t="n"/>
      <c r="BI16" s="71" t="n"/>
      <c r="BJ16" s="71" t="n"/>
      <c r="BK16" s="71" t="n"/>
      <c r="BL16" s="71">
        <f>COUNTIF(F16:BK16,"P")</f>
        <v/>
      </c>
      <c r="BM16" s="71">
        <f>SUM((BL16/BL12)*100)</f>
        <v/>
      </c>
    </row>
    <row r="17" ht="21" customHeight="1" s="55">
      <c r="A17" s="73" t="n">
        <v>5</v>
      </c>
      <c r="B17" s="74" t="n">
        <v>2410738</v>
      </c>
      <c r="C17" s="75" t="n">
        <v>3122245002071</v>
      </c>
      <c r="D17" s="76" t="inlineStr">
        <is>
          <t>Radhakrishnan M</t>
        </is>
      </c>
      <c r="E17" s="76" t="inlineStr">
        <is>
          <t>radhakrishnan2410738@ssn.edu.in</t>
        </is>
      </c>
      <c r="F17" s="167" t="inlineStr">
        <is>
          <t>P</t>
        </is>
      </c>
      <c r="G17" s="82" t="inlineStr">
        <is>
          <t>P</t>
        </is>
      </c>
      <c r="H17" s="82" t="inlineStr">
        <is>
          <t>A</t>
        </is>
      </c>
      <c r="I17" s="82" t="inlineStr">
        <is>
          <t>P</t>
        </is>
      </c>
      <c r="J17" s="82" t="inlineStr">
        <is>
          <t>P</t>
        </is>
      </c>
      <c r="K17" s="82" t="inlineStr">
        <is>
          <t>A</t>
        </is>
      </c>
      <c r="L17" s="82" t="inlineStr">
        <is>
          <t>P</t>
        </is>
      </c>
      <c r="M17" s="82" t="inlineStr">
        <is>
          <t>P</t>
        </is>
      </c>
      <c r="N17" s="83" t="inlineStr">
        <is>
          <t>A</t>
        </is>
      </c>
      <c r="O17" s="83" t="inlineStr">
        <is>
          <t>P</t>
        </is>
      </c>
      <c r="P17" s="83" t="inlineStr">
        <is>
          <t>P</t>
        </is>
      </c>
      <c r="Q17" s="83" t="inlineStr">
        <is>
          <t>P</t>
        </is>
      </c>
      <c r="R17" s="83" t="inlineStr">
        <is>
          <t>P</t>
        </is>
      </c>
      <c r="S17" s="83" t="inlineStr">
        <is>
          <t>A</t>
        </is>
      </c>
      <c r="T17" s="83" t="inlineStr">
        <is>
          <t>A</t>
        </is>
      </c>
      <c r="U17" s="83" t="inlineStr">
        <is>
          <t>A</t>
        </is>
      </c>
      <c r="V17" s="83" t="inlineStr">
        <is>
          <t>A</t>
        </is>
      </c>
      <c r="W17" s="83" t="inlineStr">
        <is>
          <t>A</t>
        </is>
      </c>
      <c r="X17" s="83" t="inlineStr">
        <is>
          <t>P</t>
        </is>
      </c>
      <c r="Y17" s="165" t="n"/>
      <c r="Z17" s="81" t="n"/>
      <c r="AA17" s="81" t="n"/>
      <c r="AB17" s="81" t="n"/>
      <c r="AC17" s="8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1" t="n"/>
      <c r="BF17" s="71" t="n"/>
      <c r="BG17" s="71" t="n"/>
      <c r="BH17" s="71" t="n"/>
      <c r="BI17" s="71" t="n"/>
      <c r="BJ17" s="71" t="n"/>
      <c r="BK17" s="71" t="n"/>
      <c r="BL17" s="71">
        <f>COUNTIF(F17:BK17,"P")</f>
        <v/>
      </c>
      <c r="BM17" s="71">
        <f>SUM((BL17/BL12)*100)</f>
        <v/>
      </c>
    </row>
    <row r="18" ht="21" customHeight="1" s="55">
      <c r="A18" s="73" t="n">
        <v>6</v>
      </c>
      <c r="B18" s="74" t="n">
        <v>2410786</v>
      </c>
      <c r="C18" s="75" t="n">
        <v>3122245002072</v>
      </c>
      <c r="D18" s="76" t="inlineStr">
        <is>
          <t>Raghul Krishna V</t>
        </is>
      </c>
      <c r="E18" s="76" t="inlineStr">
        <is>
          <t>raghulkrishna2410786@ssn.edu.in</t>
        </is>
      </c>
      <c r="F18" s="167" t="inlineStr">
        <is>
          <t>P</t>
        </is>
      </c>
      <c r="G18" s="82" t="inlineStr">
        <is>
          <t>A</t>
        </is>
      </c>
      <c r="H18" s="82" t="inlineStr">
        <is>
          <t>P</t>
        </is>
      </c>
      <c r="I18" s="82" t="inlineStr">
        <is>
          <t>A</t>
        </is>
      </c>
      <c r="J18" s="82" t="inlineStr">
        <is>
          <t>A</t>
        </is>
      </c>
      <c r="K18" s="82" t="inlineStr">
        <is>
          <t>P</t>
        </is>
      </c>
      <c r="L18" s="82" t="inlineStr">
        <is>
          <t>P</t>
        </is>
      </c>
      <c r="M18" s="82" t="inlineStr">
        <is>
          <t>P</t>
        </is>
      </c>
      <c r="N18" s="83" t="inlineStr">
        <is>
          <t>A</t>
        </is>
      </c>
      <c r="O18" s="83" t="inlineStr">
        <is>
          <t>P</t>
        </is>
      </c>
      <c r="P18" s="83" t="inlineStr">
        <is>
          <t>P</t>
        </is>
      </c>
      <c r="Q18" s="83" t="inlineStr">
        <is>
          <t>P</t>
        </is>
      </c>
      <c r="R18" s="83" t="inlineStr">
        <is>
          <t>P</t>
        </is>
      </c>
      <c r="S18" s="83" t="inlineStr">
        <is>
          <t>P</t>
        </is>
      </c>
      <c r="T18" s="83" t="inlineStr">
        <is>
          <t>P</t>
        </is>
      </c>
      <c r="U18" s="83" t="inlineStr">
        <is>
          <t>A</t>
        </is>
      </c>
      <c r="V18" s="83" t="inlineStr">
        <is>
          <t>P</t>
        </is>
      </c>
      <c r="W18" s="83" t="inlineStr">
        <is>
          <t>P</t>
        </is>
      </c>
      <c r="X18" s="83" t="inlineStr">
        <is>
          <t>P</t>
        </is>
      </c>
      <c r="Y18" s="165" t="n"/>
      <c r="Z18" s="81" t="n"/>
      <c r="AA18" s="81" t="n"/>
      <c r="AB18" s="81" t="n"/>
      <c r="AC18" s="8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1" t="n"/>
      <c r="BF18" s="71" t="n"/>
      <c r="BG18" s="71" t="n"/>
      <c r="BH18" s="71" t="n"/>
      <c r="BI18" s="71" t="n"/>
      <c r="BJ18" s="71" t="n"/>
      <c r="BK18" s="71" t="n"/>
      <c r="BL18" s="71">
        <f>COUNTIF(F18:BK18,"P")</f>
        <v/>
      </c>
      <c r="BM18" s="71">
        <f>SUM((BL18/BL12)*100)</f>
        <v/>
      </c>
    </row>
    <row r="19" ht="21" customHeight="1" s="55">
      <c r="A19" s="73" t="n">
        <v>7</v>
      </c>
      <c r="B19" s="74" t="n">
        <v>2410441</v>
      </c>
      <c r="C19" s="75" t="n">
        <v>3122245002073</v>
      </c>
      <c r="D19" s="76" t="inlineStr">
        <is>
          <t>Ragul A</t>
        </is>
      </c>
      <c r="E19" s="76" t="inlineStr">
        <is>
          <t>ragul2410441@ssn.edu.in</t>
        </is>
      </c>
      <c r="F19" s="167" t="inlineStr">
        <is>
          <t>P</t>
        </is>
      </c>
      <c r="G19" s="82" t="inlineStr">
        <is>
          <t>P</t>
        </is>
      </c>
      <c r="H19" s="82" t="inlineStr">
        <is>
          <t>P</t>
        </is>
      </c>
      <c r="I19" s="82" t="inlineStr">
        <is>
          <t>P</t>
        </is>
      </c>
      <c r="J19" s="82" t="inlineStr">
        <is>
          <t>P</t>
        </is>
      </c>
      <c r="K19" s="82" t="inlineStr">
        <is>
          <t>P</t>
        </is>
      </c>
      <c r="L19" s="82" t="inlineStr">
        <is>
          <t>P</t>
        </is>
      </c>
      <c r="M19" s="82" t="inlineStr">
        <is>
          <t>P</t>
        </is>
      </c>
      <c r="N19" s="83" t="inlineStr">
        <is>
          <t>A</t>
        </is>
      </c>
      <c r="O19" s="83" t="inlineStr">
        <is>
          <t>P</t>
        </is>
      </c>
      <c r="P19" s="83" t="inlineStr">
        <is>
          <t>P</t>
        </is>
      </c>
      <c r="Q19" s="83" t="inlineStr">
        <is>
          <t>P</t>
        </is>
      </c>
      <c r="R19" s="83" t="inlineStr">
        <is>
          <t>P</t>
        </is>
      </c>
      <c r="S19" s="83" t="inlineStr">
        <is>
          <t>P</t>
        </is>
      </c>
      <c r="T19" s="83" t="inlineStr">
        <is>
          <t>P</t>
        </is>
      </c>
      <c r="U19" s="83" t="inlineStr">
        <is>
          <t>P</t>
        </is>
      </c>
      <c r="V19" s="83" t="inlineStr">
        <is>
          <t>P</t>
        </is>
      </c>
      <c r="W19" s="83" t="inlineStr">
        <is>
          <t>P</t>
        </is>
      </c>
      <c r="X19" s="83" t="inlineStr">
        <is>
          <t>A</t>
        </is>
      </c>
      <c r="Y19" s="165" t="n"/>
      <c r="Z19" s="81" t="n"/>
      <c r="AA19" s="81" t="n"/>
      <c r="AB19" s="81" t="n"/>
      <c r="AC19" s="8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1" t="n"/>
      <c r="BF19" s="71" t="n"/>
      <c r="BG19" s="71" t="n"/>
      <c r="BH19" s="71" t="n"/>
      <c r="BI19" s="71" t="n"/>
      <c r="BJ19" s="71" t="n"/>
      <c r="BK19" s="71" t="n"/>
      <c r="BL19" s="71">
        <f>COUNTIF(F19:BK19,"P")</f>
        <v/>
      </c>
      <c r="BM19" s="71">
        <f>SUM((BL19/BL12)*100)</f>
        <v/>
      </c>
    </row>
    <row r="20" ht="21" customHeight="1" s="55">
      <c r="A20" s="73" t="n">
        <v>8</v>
      </c>
      <c r="B20" s="74" t="n">
        <v>2410834</v>
      </c>
      <c r="C20" s="75" t="n">
        <v>3122245002074</v>
      </c>
      <c r="D20" s="76" t="inlineStr">
        <is>
          <t>Ragunandhan M</t>
        </is>
      </c>
      <c r="E20" s="76" t="inlineStr">
        <is>
          <t>ragunandhan2410834@ssn.edu.in</t>
        </is>
      </c>
      <c r="F20" s="167" t="inlineStr">
        <is>
          <t>P</t>
        </is>
      </c>
      <c r="G20" s="82" t="inlineStr">
        <is>
          <t>P</t>
        </is>
      </c>
      <c r="H20" s="82" t="inlineStr">
        <is>
          <t>P</t>
        </is>
      </c>
      <c r="I20" s="82" t="inlineStr">
        <is>
          <t>P</t>
        </is>
      </c>
      <c r="J20" s="82" t="inlineStr">
        <is>
          <t>P</t>
        </is>
      </c>
      <c r="K20" s="82" t="inlineStr">
        <is>
          <t>P</t>
        </is>
      </c>
      <c r="L20" s="82" t="inlineStr">
        <is>
          <t>P</t>
        </is>
      </c>
      <c r="M20" s="82" t="inlineStr">
        <is>
          <t>P</t>
        </is>
      </c>
      <c r="N20" s="83" t="inlineStr">
        <is>
          <t>P</t>
        </is>
      </c>
      <c r="O20" s="83" t="inlineStr">
        <is>
          <t>P</t>
        </is>
      </c>
      <c r="P20" s="83" t="inlineStr">
        <is>
          <t>P</t>
        </is>
      </c>
      <c r="Q20" s="83" t="inlineStr">
        <is>
          <t>P</t>
        </is>
      </c>
      <c r="R20" s="83" t="inlineStr">
        <is>
          <t>P</t>
        </is>
      </c>
      <c r="S20" s="83" t="inlineStr">
        <is>
          <t>P</t>
        </is>
      </c>
      <c r="T20" s="83" t="inlineStr">
        <is>
          <t>P</t>
        </is>
      </c>
      <c r="U20" s="83" t="inlineStr">
        <is>
          <t>P</t>
        </is>
      </c>
      <c r="V20" s="83" t="inlineStr">
        <is>
          <t>P</t>
        </is>
      </c>
      <c r="W20" s="83" t="inlineStr">
        <is>
          <t>P</t>
        </is>
      </c>
      <c r="X20" s="83" t="inlineStr">
        <is>
          <t>P</t>
        </is>
      </c>
      <c r="Y20" s="165" t="n"/>
      <c r="Z20" s="81" t="n"/>
      <c r="AA20" s="81" t="n"/>
      <c r="AB20" s="81" t="n"/>
      <c r="AC20" s="8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 t="n"/>
      <c r="BJ20" s="71" t="n"/>
      <c r="BK20" s="71" t="n"/>
      <c r="BL20" s="71">
        <f>COUNTIF(F20:BK20,"P")</f>
        <v/>
      </c>
      <c r="BM20" s="71">
        <f>SUM((BL20/BL12)*100)</f>
        <v/>
      </c>
    </row>
    <row r="21" ht="21" customHeight="1" s="55">
      <c r="A21" s="73" t="n">
        <v>9</v>
      </c>
      <c r="B21" s="74" t="n">
        <v>2410098</v>
      </c>
      <c r="C21" s="75" t="n">
        <v>3122245002075</v>
      </c>
      <c r="D21" s="76" t="inlineStr">
        <is>
          <t>Rajkumar M</t>
        </is>
      </c>
      <c r="E21" s="76" t="inlineStr">
        <is>
          <t>rajkumar2410098@ssn.edu.in</t>
        </is>
      </c>
      <c r="F21" s="167" t="inlineStr">
        <is>
          <t>P</t>
        </is>
      </c>
      <c r="G21" s="82" t="inlineStr">
        <is>
          <t>P</t>
        </is>
      </c>
      <c r="H21" s="82" t="inlineStr">
        <is>
          <t>P</t>
        </is>
      </c>
      <c r="I21" s="82" t="inlineStr">
        <is>
          <t>P</t>
        </is>
      </c>
      <c r="J21" s="82" t="inlineStr">
        <is>
          <t>P</t>
        </is>
      </c>
      <c r="K21" s="82" t="inlineStr">
        <is>
          <t>P</t>
        </is>
      </c>
      <c r="L21" s="82" t="inlineStr">
        <is>
          <t>A</t>
        </is>
      </c>
      <c r="M21" s="82" t="inlineStr">
        <is>
          <t>A</t>
        </is>
      </c>
      <c r="N21" s="83" t="inlineStr">
        <is>
          <t>A</t>
        </is>
      </c>
      <c r="O21" s="83" t="inlineStr">
        <is>
          <t>P</t>
        </is>
      </c>
      <c r="P21" s="83" t="inlineStr">
        <is>
          <t>P</t>
        </is>
      </c>
      <c r="Q21" s="83" t="inlineStr">
        <is>
          <t>P</t>
        </is>
      </c>
      <c r="R21" s="83" t="inlineStr">
        <is>
          <t>A</t>
        </is>
      </c>
      <c r="S21" s="83" t="inlineStr">
        <is>
          <t>A</t>
        </is>
      </c>
      <c r="T21" s="83" t="inlineStr">
        <is>
          <t>P</t>
        </is>
      </c>
      <c r="U21" s="83" t="inlineStr">
        <is>
          <t>P</t>
        </is>
      </c>
      <c r="V21" s="83" t="inlineStr">
        <is>
          <t>P</t>
        </is>
      </c>
      <c r="W21" s="83" t="inlineStr">
        <is>
          <t>A</t>
        </is>
      </c>
      <c r="X21" s="83" t="inlineStr">
        <is>
          <t>A</t>
        </is>
      </c>
      <c r="Y21" s="165" t="n"/>
      <c r="Z21" s="81" t="n"/>
      <c r="AA21" s="81" t="n"/>
      <c r="AB21" s="81" t="n"/>
      <c r="AC21" s="8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 t="n"/>
      <c r="BJ21" s="71" t="n"/>
      <c r="BK21" s="71" t="n"/>
      <c r="BL21" s="71">
        <f>COUNTIF(F21:BK21,"P")</f>
        <v/>
      </c>
      <c r="BM21" s="71">
        <f>SUM((BL21/BL12)*100)</f>
        <v/>
      </c>
    </row>
    <row r="22" ht="21" customHeight="1" s="55">
      <c r="A22" s="73" t="n">
        <v>10</v>
      </c>
      <c r="B22" s="74" t="n">
        <v>2410632</v>
      </c>
      <c r="C22" s="75" t="n">
        <v>3122245002076</v>
      </c>
      <c r="D22" s="76" t="inlineStr">
        <is>
          <t>Ramakrishnan M R</t>
        </is>
      </c>
      <c r="E22" s="76" t="inlineStr">
        <is>
          <t>ramakrishnan2410632@ssn.edu.in</t>
        </is>
      </c>
      <c r="F22" s="167" t="inlineStr">
        <is>
          <t>P</t>
        </is>
      </c>
      <c r="G22" s="82" t="inlineStr">
        <is>
          <t>P</t>
        </is>
      </c>
      <c r="H22" s="82" t="inlineStr">
        <is>
          <t>P</t>
        </is>
      </c>
      <c r="I22" s="82" t="inlineStr">
        <is>
          <t>P</t>
        </is>
      </c>
      <c r="J22" s="82" t="inlineStr">
        <is>
          <t>P</t>
        </is>
      </c>
      <c r="K22" s="82" t="inlineStr">
        <is>
          <t>P</t>
        </is>
      </c>
      <c r="L22" s="82" t="inlineStr">
        <is>
          <t>A</t>
        </is>
      </c>
      <c r="M22" s="82" t="inlineStr">
        <is>
          <t>A</t>
        </is>
      </c>
      <c r="N22" s="83" t="inlineStr">
        <is>
          <t>P</t>
        </is>
      </c>
      <c r="O22" s="83" t="inlineStr">
        <is>
          <t>P</t>
        </is>
      </c>
      <c r="P22" s="83" t="inlineStr">
        <is>
          <t>P</t>
        </is>
      </c>
      <c r="Q22" s="83" t="inlineStr">
        <is>
          <t>P</t>
        </is>
      </c>
      <c r="R22" s="83" t="inlineStr">
        <is>
          <t>P</t>
        </is>
      </c>
      <c r="S22" s="83" t="inlineStr">
        <is>
          <t>P</t>
        </is>
      </c>
      <c r="T22" s="83" t="inlineStr">
        <is>
          <t>P</t>
        </is>
      </c>
      <c r="U22" s="83" t="inlineStr">
        <is>
          <t>P</t>
        </is>
      </c>
      <c r="V22" s="83" t="inlineStr">
        <is>
          <t>P</t>
        </is>
      </c>
      <c r="W22" s="83" t="inlineStr">
        <is>
          <t>A</t>
        </is>
      </c>
      <c r="X22" s="83" t="inlineStr">
        <is>
          <t>P</t>
        </is>
      </c>
      <c r="Y22" s="165" t="n"/>
      <c r="Z22" s="81" t="n"/>
      <c r="AA22" s="81" t="n"/>
      <c r="AB22" s="81" t="n"/>
      <c r="AC22" s="8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1" t="n"/>
      <c r="BF22" s="71" t="n"/>
      <c r="BG22" s="71" t="n"/>
      <c r="BH22" s="71" t="n"/>
      <c r="BI22" s="71" t="n"/>
      <c r="BJ22" s="71" t="n"/>
      <c r="BK22" s="71" t="n"/>
      <c r="BL22" s="71">
        <f>COUNTIF(F22:BK22,"P")</f>
        <v/>
      </c>
      <c r="BM22" s="71">
        <f>SUM((BL22/BL12)*100)</f>
        <v/>
      </c>
    </row>
    <row r="23" ht="21" customHeight="1" s="55">
      <c r="A23" s="73" t="n">
        <v>11</v>
      </c>
      <c r="B23" s="74" t="n">
        <v>2410313</v>
      </c>
      <c r="C23" s="75" t="n">
        <v>3122245002077</v>
      </c>
      <c r="D23" s="76" t="inlineStr">
        <is>
          <t>Raveena V K</t>
        </is>
      </c>
      <c r="E23" s="76" t="inlineStr">
        <is>
          <t>raveena2410313@ssn.edu.in</t>
        </is>
      </c>
      <c r="F23" s="167" t="inlineStr">
        <is>
          <t>P</t>
        </is>
      </c>
      <c r="G23" s="82" t="inlineStr">
        <is>
          <t>A</t>
        </is>
      </c>
      <c r="H23" s="82" t="inlineStr">
        <is>
          <t>A</t>
        </is>
      </c>
      <c r="I23" s="82" t="inlineStr">
        <is>
          <t>P</t>
        </is>
      </c>
      <c r="J23" s="82" t="inlineStr">
        <is>
          <t>P</t>
        </is>
      </c>
      <c r="K23" s="82" t="inlineStr">
        <is>
          <t>P</t>
        </is>
      </c>
      <c r="L23" s="82" t="inlineStr">
        <is>
          <t>A</t>
        </is>
      </c>
      <c r="M23" s="82" t="inlineStr">
        <is>
          <t>A</t>
        </is>
      </c>
      <c r="N23" s="83" t="inlineStr">
        <is>
          <t>A</t>
        </is>
      </c>
      <c r="O23" s="83" t="inlineStr">
        <is>
          <t>P</t>
        </is>
      </c>
      <c r="P23" s="83" t="inlineStr">
        <is>
          <t>P</t>
        </is>
      </c>
      <c r="Q23" s="83" t="inlineStr">
        <is>
          <t>P</t>
        </is>
      </c>
      <c r="R23" s="83" t="inlineStr">
        <is>
          <t>P</t>
        </is>
      </c>
      <c r="S23" s="83" t="inlineStr">
        <is>
          <t>A</t>
        </is>
      </c>
      <c r="T23" s="83" t="inlineStr">
        <is>
          <t>P</t>
        </is>
      </c>
      <c r="U23" s="83" t="inlineStr">
        <is>
          <t>A</t>
        </is>
      </c>
      <c r="V23" s="83" t="inlineStr">
        <is>
          <t>P</t>
        </is>
      </c>
      <c r="W23" s="83" t="inlineStr">
        <is>
          <t>A</t>
        </is>
      </c>
      <c r="X23" s="83" t="inlineStr">
        <is>
          <t>A</t>
        </is>
      </c>
      <c r="Y23" s="165" t="n"/>
      <c r="Z23" s="81" t="n"/>
      <c r="AA23" s="81" t="n"/>
      <c r="AB23" s="81" t="n"/>
      <c r="AC23" s="8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71" t="n"/>
      <c r="AW23" s="71" t="n"/>
      <c r="AX23" s="71" t="n"/>
      <c r="AY23" s="71" t="n"/>
      <c r="AZ23" s="71" t="n"/>
      <c r="BA23" s="71" t="n"/>
      <c r="BB23" s="71" t="n"/>
      <c r="BC23" s="71" t="n"/>
      <c r="BD23" s="71" t="n"/>
      <c r="BE23" s="71" t="n"/>
      <c r="BF23" s="71" t="n"/>
      <c r="BG23" s="71" t="n"/>
      <c r="BH23" s="71" t="n"/>
      <c r="BI23" s="71" t="n"/>
      <c r="BJ23" s="71" t="n"/>
      <c r="BK23" s="71" t="n"/>
      <c r="BL23" s="71">
        <f>COUNTIF(F23:BK23,"P")</f>
        <v/>
      </c>
      <c r="BM23" s="71">
        <f>SUM((BL23/BL12)*100)</f>
        <v/>
      </c>
    </row>
    <row r="24" ht="21" customHeight="1" s="55">
      <c r="A24" s="73" t="n">
        <v>12</v>
      </c>
      <c r="B24" s="74" t="n">
        <v>2410581</v>
      </c>
      <c r="C24" s="75" t="n">
        <v>3122245002078</v>
      </c>
      <c r="D24" s="76" t="inlineStr">
        <is>
          <t>Ridhi R</t>
        </is>
      </c>
      <c r="E24" s="76" t="inlineStr">
        <is>
          <t>ridhi2410581@ssn.edu.in</t>
        </is>
      </c>
      <c r="F24" s="167" t="inlineStr">
        <is>
          <t>P</t>
        </is>
      </c>
      <c r="G24" s="82" t="inlineStr">
        <is>
          <t>P</t>
        </is>
      </c>
      <c r="H24" s="82" t="inlineStr">
        <is>
          <t>P</t>
        </is>
      </c>
      <c r="I24" s="82" t="inlineStr">
        <is>
          <t>P</t>
        </is>
      </c>
      <c r="J24" s="82" t="inlineStr">
        <is>
          <t>P</t>
        </is>
      </c>
      <c r="K24" s="82" t="inlineStr">
        <is>
          <t>P</t>
        </is>
      </c>
      <c r="L24" s="82" t="inlineStr">
        <is>
          <t>P</t>
        </is>
      </c>
      <c r="M24" s="82" t="inlineStr">
        <is>
          <t>P</t>
        </is>
      </c>
      <c r="N24" s="83" t="inlineStr">
        <is>
          <t>A</t>
        </is>
      </c>
      <c r="O24" s="83" t="inlineStr">
        <is>
          <t>P</t>
        </is>
      </c>
      <c r="P24" s="83" t="inlineStr">
        <is>
          <t>P</t>
        </is>
      </c>
      <c r="Q24" s="83" t="inlineStr">
        <is>
          <t>P</t>
        </is>
      </c>
      <c r="R24" s="83" t="inlineStr">
        <is>
          <t>P</t>
        </is>
      </c>
      <c r="S24" s="83" t="inlineStr">
        <is>
          <t>A</t>
        </is>
      </c>
      <c r="T24" s="83" t="inlineStr">
        <is>
          <t>A</t>
        </is>
      </c>
      <c r="U24" s="83" t="inlineStr">
        <is>
          <t>P</t>
        </is>
      </c>
      <c r="V24" s="83" t="inlineStr">
        <is>
          <t>P</t>
        </is>
      </c>
      <c r="W24" s="83" t="inlineStr">
        <is>
          <t>A</t>
        </is>
      </c>
      <c r="X24" s="83" t="inlineStr">
        <is>
          <t>P</t>
        </is>
      </c>
      <c r="Y24" s="165" t="n"/>
      <c r="Z24" s="81" t="n"/>
      <c r="AA24" s="81" t="n"/>
      <c r="AB24" s="81" t="n"/>
      <c r="AC24" s="8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71" t="n"/>
      <c r="AW24" s="71" t="n"/>
      <c r="AX24" s="71" t="n"/>
      <c r="AY24" s="71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 t="n"/>
      <c r="BJ24" s="71" t="n"/>
      <c r="BK24" s="71" t="n"/>
      <c r="BL24" s="71">
        <f>COUNTIF(F24:BK24,"P")</f>
        <v/>
      </c>
      <c r="BM24" s="71">
        <f>SUM((BL24/BL12)*100)</f>
        <v/>
      </c>
    </row>
    <row r="25" ht="21" customHeight="1" s="55">
      <c r="A25" s="73" t="n">
        <v>13</v>
      </c>
      <c r="B25" s="74" t="n">
        <v>2410343</v>
      </c>
      <c r="C25" s="75" t="n">
        <v>3122245002079</v>
      </c>
      <c r="D25" s="76" t="inlineStr">
        <is>
          <t>Rishikumar Pitchiah Kalyanakumar</t>
        </is>
      </c>
      <c r="E25" s="76" t="inlineStr">
        <is>
          <t>rishikumar2410343@ssn.edu.in</t>
        </is>
      </c>
      <c r="F25" s="167" t="inlineStr">
        <is>
          <t>P</t>
        </is>
      </c>
      <c r="G25" s="82" t="inlineStr">
        <is>
          <t>P</t>
        </is>
      </c>
      <c r="H25" s="82" t="inlineStr">
        <is>
          <t>A</t>
        </is>
      </c>
      <c r="I25" s="82" t="inlineStr">
        <is>
          <t>P</t>
        </is>
      </c>
      <c r="J25" s="82" t="inlineStr">
        <is>
          <t>P</t>
        </is>
      </c>
      <c r="K25" s="82" t="inlineStr">
        <is>
          <t>P</t>
        </is>
      </c>
      <c r="L25" s="82" t="inlineStr">
        <is>
          <t>A</t>
        </is>
      </c>
      <c r="M25" s="82" t="inlineStr">
        <is>
          <t>A</t>
        </is>
      </c>
      <c r="N25" s="83" t="inlineStr">
        <is>
          <t>P</t>
        </is>
      </c>
      <c r="O25" s="83" t="inlineStr">
        <is>
          <t>P</t>
        </is>
      </c>
      <c r="P25" s="83" t="inlineStr">
        <is>
          <t>P</t>
        </is>
      </c>
      <c r="Q25" s="83" t="inlineStr">
        <is>
          <t>P</t>
        </is>
      </c>
      <c r="R25" s="83" t="inlineStr">
        <is>
          <t>P</t>
        </is>
      </c>
      <c r="S25" s="83" t="inlineStr">
        <is>
          <t>A</t>
        </is>
      </c>
      <c r="T25" s="83" t="inlineStr">
        <is>
          <t>P</t>
        </is>
      </c>
      <c r="U25" s="83" t="inlineStr">
        <is>
          <t>P</t>
        </is>
      </c>
      <c r="V25" s="83" t="inlineStr">
        <is>
          <t>P</t>
        </is>
      </c>
      <c r="W25" s="83" t="inlineStr">
        <is>
          <t>A</t>
        </is>
      </c>
      <c r="X25" s="83" t="inlineStr">
        <is>
          <t>A</t>
        </is>
      </c>
      <c r="Y25" s="165" t="n"/>
      <c r="Z25" s="81" t="n"/>
      <c r="AA25" s="81" t="n"/>
      <c r="AB25" s="81" t="n"/>
      <c r="AC25" s="8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71" t="n"/>
      <c r="AW25" s="71" t="n"/>
      <c r="AX25" s="71" t="n"/>
      <c r="AY25" s="71" t="n"/>
      <c r="AZ25" s="71" t="n"/>
      <c r="BA25" s="71" t="n"/>
      <c r="BB25" s="71" t="n"/>
      <c r="BC25" s="71" t="n"/>
      <c r="BD25" s="71" t="n"/>
      <c r="BE25" s="71" t="n"/>
      <c r="BF25" s="71" t="n"/>
      <c r="BG25" s="71" t="n"/>
      <c r="BH25" s="71" t="n"/>
      <c r="BI25" s="71" t="n"/>
      <c r="BJ25" s="71" t="n"/>
      <c r="BK25" s="71" t="n"/>
      <c r="BL25" s="71">
        <f>COUNTIF(F25:BK25,"P")</f>
        <v/>
      </c>
      <c r="BM25" s="71">
        <f>SUM((BL25/BL12)*100)</f>
        <v/>
      </c>
    </row>
    <row r="26" ht="21" customHeight="1" s="55">
      <c r="A26" s="73" t="n">
        <v>14</v>
      </c>
      <c r="B26" s="74" t="n">
        <v>2410308</v>
      </c>
      <c r="C26" s="75" t="n">
        <v>3122245002080</v>
      </c>
      <c r="D26" s="76" t="inlineStr">
        <is>
          <t>Rithin Asvathama V</t>
        </is>
      </c>
      <c r="E26" s="76" t="inlineStr">
        <is>
          <t>rithinasvathama2410308@ssn.edu.in</t>
        </is>
      </c>
      <c r="F26" s="167" t="inlineStr">
        <is>
          <t>P</t>
        </is>
      </c>
      <c r="G26" s="82" t="inlineStr">
        <is>
          <t>P</t>
        </is>
      </c>
      <c r="H26" s="82" t="inlineStr">
        <is>
          <t>A</t>
        </is>
      </c>
      <c r="I26" s="82" t="inlineStr">
        <is>
          <t>P</t>
        </is>
      </c>
      <c r="J26" s="82" t="inlineStr">
        <is>
          <t>P</t>
        </is>
      </c>
      <c r="K26" s="82" t="inlineStr">
        <is>
          <t>P</t>
        </is>
      </c>
      <c r="L26" s="82" t="inlineStr">
        <is>
          <t>P</t>
        </is>
      </c>
      <c r="M26" s="82" t="inlineStr">
        <is>
          <t>P</t>
        </is>
      </c>
      <c r="N26" s="83" t="inlineStr">
        <is>
          <t>A</t>
        </is>
      </c>
      <c r="O26" s="83" t="inlineStr">
        <is>
          <t>A</t>
        </is>
      </c>
      <c r="P26" s="83" t="inlineStr">
        <is>
          <t>P</t>
        </is>
      </c>
      <c r="Q26" s="83" t="inlineStr">
        <is>
          <t>P</t>
        </is>
      </c>
      <c r="R26" s="83" t="inlineStr">
        <is>
          <t>P</t>
        </is>
      </c>
      <c r="S26" s="83" t="inlineStr">
        <is>
          <t>A</t>
        </is>
      </c>
      <c r="T26" s="83" t="inlineStr">
        <is>
          <t>P</t>
        </is>
      </c>
      <c r="U26" s="83" t="inlineStr">
        <is>
          <t>P</t>
        </is>
      </c>
      <c r="V26" s="83" t="inlineStr">
        <is>
          <t>P</t>
        </is>
      </c>
      <c r="W26" s="83" t="inlineStr">
        <is>
          <t>A</t>
        </is>
      </c>
      <c r="X26" s="83" t="inlineStr">
        <is>
          <t>P</t>
        </is>
      </c>
      <c r="Y26" s="165" t="n"/>
      <c r="Z26" s="81" t="n"/>
      <c r="AA26" s="81" t="n"/>
      <c r="AB26" s="81" t="n"/>
      <c r="AC26" s="8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 t="n"/>
      <c r="BJ26" s="71" t="n"/>
      <c r="BK26" s="71" t="n"/>
      <c r="BL26" s="71">
        <f>COUNTIF(F26:BK26,"P")</f>
        <v/>
      </c>
      <c r="BM26" s="71">
        <f>SUM((BL26/BL12)*100)</f>
        <v/>
      </c>
    </row>
    <row r="27" ht="21" customHeight="1" s="55">
      <c r="A27" s="73" t="n">
        <v>15</v>
      </c>
      <c r="B27" s="74" t="n">
        <v>2410445</v>
      </c>
      <c r="C27" s="75" t="n">
        <v>3122245002081</v>
      </c>
      <c r="D27" s="76" t="inlineStr">
        <is>
          <t>Ritvik Kumar T</t>
        </is>
      </c>
      <c r="E27" s="76" t="inlineStr">
        <is>
          <t>ritvikkumar2410445@ssn.edu.in</t>
        </is>
      </c>
      <c r="F27" s="167" t="inlineStr">
        <is>
          <t>P</t>
        </is>
      </c>
      <c r="G27" s="82" t="inlineStr">
        <is>
          <t>P</t>
        </is>
      </c>
      <c r="H27" s="82" t="inlineStr">
        <is>
          <t>P</t>
        </is>
      </c>
      <c r="I27" s="82" t="inlineStr">
        <is>
          <t>P</t>
        </is>
      </c>
      <c r="J27" s="82" t="inlineStr">
        <is>
          <t>P</t>
        </is>
      </c>
      <c r="K27" s="82" t="inlineStr">
        <is>
          <t>P</t>
        </is>
      </c>
      <c r="L27" s="82" t="inlineStr">
        <is>
          <t>P</t>
        </is>
      </c>
      <c r="M27" s="82" t="inlineStr">
        <is>
          <t>P</t>
        </is>
      </c>
      <c r="N27" s="83" t="inlineStr">
        <is>
          <t>P</t>
        </is>
      </c>
      <c r="O27" s="83" t="inlineStr">
        <is>
          <t>P</t>
        </is>
      </c>
      <c r="P27" s="83" t="inlineStr">
        <is>
          <t>P</t>
        </is>
      </c>
      <c r="Q27" s="83" t="inlineStr">
        <is>
          <t>P</t>
        </is>
      </c>
      <c r="R27" s="83" t="inlineStr">
        <is>
          <t>P</t>
        </is>
      </c>
      <c r="S27" s="83" t="inlineStr">
        <is>
          <t>P</t>
        </is>
      </c>
      <c r="T27" s="83" t="inlineStr">
        <is>
          <t>P</t>
        </is>
      </c>
      <c r="U27" s="83" t="inlineStr">
        <is>
          <t>P</t>
        </is>
      </c>
      <c r="V27" s="83" t="inlineStr">
        <is>
          <t>P</t>
        </is>
      </c>
      <c r="W27" s="83" t="inlineStr">
        <is>
          <t>P</t>
        </is>
      </c>
      <c r="X27" s="83" t="inlineStr">
        <is>
          <t>P</t>
        </is>
      </c>
      <c r="Y27" s="165" t="n"/>
      <c r="Z27" s="81" t="n"/>
      <c r="AA27" s="81" t="n"/>
      <c r="AB27" s="81" t="n"/>
      <c r="AC27" s="8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>
        <f>COUNTIF(F27:BK27,"P")</f>
        <v/>
      </c>
      <c r="BM27" s="71">
        <f>SUM((BL27/BL12)*100)</f>
        <v/>
      </c>
    </row>
    <row r="28" ht="21" customHeight="1" s="55">
      <c r="A28" s="73" t="n">
        <v>16</v>
      </c>
      <c r="B28" s="74" t="n">
        <v>2410230</v>
      </c>
      <c r="C28" s="75" t="n">
        <v>3122245002082</v>
      </c>
      <c r="D28" s="76" t="inlineStr">
        <is>
          <t>Roja Sri R</t>
        </is>
      </c>
      <c r="E28" s="76" t="inlineStr">
        <is>
          <t>rojasri2410230@ssn.edu.in</t>
        </is>
      </c>
      <c r="F28" s="167" t="inlineStr">
        <is>
          <t>P</t>
        </is>
      </c>
      <c r="G28" s="82" t="inlineStr">
        <is>
          <t>P</t>
        </is>
      </c>
      <c r="H28" s="82" t="inlineStr">
        <is>
          <t>P</t>
        </is>
      </c>
      <c r="I28" s="82" t="inlineStr">
        <is>
          <t>P</t>
        </is>
      </c>
      <c r="J28" s="82" t="inlineStr">
        <is>
          <t>P</t>
        </is>
      </c>
      <c r="K28" s="82" t="inlineStr">
        <is>
          <t>P</t>
        </is>
      </c>
      <c r="L28" s="82" t="inlineStr">
        <is>
          <t>P</t>
        </is>
      </c>
      <c r="M28" s="82" t="inlineStr">
        <is>
          <t>P</t>
        </is>
      </c>
      <c r="N28" s="83" t="inlineStr">
        <is>
          <t>A</t>
        </is>
      </c>
      <c r="O28" s="83" t="inlineStr">
        <is>
          <t>P</t>
        </is>
      </c>
      <c r="P28" s="83" t="inlineStr">
        <is>
          <t>P</t>
        </is>
      </c>
      <c r="Q28" s="83" t="inlineStr">
        <is>
          <t>P</t>
        </is>
      </c>
      <c r="R28" s="83" t="inlineStr">
        <is>
          <t>P</t>
        </is>
      </c>
      <c r="S28" s="83" t="inlineStr">
        <is>
          <t>P</t>
        </is>
      </c>
      <c r="T28" s="83" t="inlineStr">
        <is>
          <t>P</t>
        </is>
      </c>
      <c r="U28" s="83" t="inlineStr">
        <is>
          <t>P</t>
        </is>
      </c>
      <c r="V28" s="83" t="inlineStr">
        <is>
          <t>P</t>
        </is>
      </c>
      <c r="W28" s="83" t="inlineStr">
        <is>
          <t>A</t>
        </is>
      </c>
      <c r="X28" s="83" t="inlineStr">
        <is>
          <t>P</t>
        </is>
      </c>
      <c r="Y28" s="165" t="n"/>
      <c r="Z28" s="81" t="n"/>
      <c r="AA28" s="81" t="n"/>
      <c r="AB28" s="81" t="n"/>
      <c r="AC28" s="8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>
        <f>COUNTIF(F28:BK28,"P")</f>
        <v/>
      </c>
      <c r="BM28" s="71">
        <f>SUM((BL28/BL12)*100)</f>
        <v/>
      </c>
    </row>
    <row r="29" ht="21" customHeight="1" s="55">
      <c r="A29" s="73" t="n">
        <v>17</v>
      </c>
      <c r="B29" s="74" t="n">
        <v>2410331</v>
      </c>
      <c r="C29" s="75" t="n">
        <v>3122245002083</v>
      </c>
      <c r="D29" s="76" t="inlineStr">
        <is>
          <t>Rovena Madharasi I</t>
        </is>
      </c>
      <c r="E29" s="76" t="inlineStr">
        <is>
          <t>rovenamadharasi2410331@ssn.edu.in</t>
        </is>
      </c>
      <c r="F29" s="167" t="inlineStr">
        <is>
          <t>P</t>
        </is>
      </c>
      <c r="G29" s="82" t="inlineStr">
        <is>
          <t>P</t>
        </is>
      </c>
      <c r="H29" s="82" t="inlineStr">
        <is>
          <t>P</t>
        </is>
      </c>
      <c r="I29" s="82" t="inlineStr">
        <is>
          <t>P</t>
        </is>
      </c>
      <c r="J29" s="82" t="inlineStr">
        <is>
          <t>P</t>
        </is>
      </c>
      <c r="K29" s="82" t="inlineStr">
        <is>
          <t>P</t>
        </is>
      </c>
      <c r="L29" s="82" t="inlineStr">
        <is>
          <t>P</t>
        </is>
      </c>
      <c r="M29" s="82" t="inlineStr">
        <is>
          <t>P</t>
        </is>
      </c>
      <c r="N29" s="83" t="inlineStr">
        <is>
          <t>P</t>
        </is>
      </c>
      <c r="O29" s="83" t="inlineStr">
        <is>
          <t>P</t>
        </is>
      </c>
      <c r="P29" s="83" t="inlineStr">
        <is>
          <t>P</t>
        </is>
      </c>
      <c r="Q29" s="83" t="inlineStr">
        <is>
          <t>P</t>
        </is>
      </c>
      <c r="R29" s="83" t="inlineStr">
        <is>
          <t>P</t>
        </is>
      </c>
      <c r="S29" s="83" t="inlineStr">
        <is>
          <t>P</t>
        </is>
      </c>
      <c r="T29" s="83" t="inlineStr">
        <is>
          <t>A</t>
        </is>
      </c>
      <c r="U29" s="83" t="inlineStr">
        <is>
          <t>P</t>
        </is>
      </c>
      <c r="V29" s="83" t="inlineStr">
        <is>
          <t>P</t>
        </is>
      </c>
      <c r="W29" s="83" t="inlineStr">
        <is>
          <t>A</t>
        </is>
      </c>
      <c r="X29" s="83" t="inlineStr">
        <is>
          <t>P</t>
        </is>
      </c>
      <c r="Y29" s="165" t="n"/>
      <c r="Z29" s="81" t="n"/>
      <c r="AA29" s="81" t="n"/>
      <c r="AB29" s="81" t="n"/>
      <c r="AC29" s="8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>
        <f>COUNTIF(F29:BK29,"P")</f>
        <v/>
      </c>
      <c r="BM29" s="71">
        <f>SUM((BL29/BL12)*100)</f>
        <v/>
      </c>
    </row>
    <row r="30" ht="21" customHeight="1" s="55">
      <c r="A30" s="73" t="n">
        <v>18</v>
      </c>
      <c r="B30" s="74" t="n">
        <v>2410229</v>
      </c>
      <c r="C30" s="75" t="n">
        <v>3122245002084</v>
      </c>
      <c r="D30" s="76" t="inlineStr">
        <is>
          <t>Sabarish S B</t>
        </is>
      </c>
      <c r="E30" s="76" t="inlineStr">
        <is>
          <t>sabarish2410229@ssn.edu.in</t>
        </is>
      </c>
      <c r="F30" s="167" t="inlineStr">
        <is>
          <t>P</t>
        </is>
      </c>
      <c r="G30" s="82" t="inlineStr">
        <is>
          <t>P</t>
        </is>
      </c>
      <c r="H30" s="82" t="inlineStr">
        <is>
          <t>P</t>
        </is>
      </c>
      <c r="I30" s="82" t="inlineStr">
        <is>
          <t>P</t>
        </is>
      </c>
      <c r="J30" s="82" t="inlineStr">
        <is>
          <t>P</t>
        </is>
      </c>
      <c r="K30" s="82" t="inlineStr">
        <is>
          <t>P</t>
        </is>
      </c>
      <c r="L30" s="82" t="inlineStr">
        <is>
          <t>P</t>
        </is>
      </c>
      <c r="M30" s="82" t="inlineStr">
        <is>
          <t>P</t>
        </is>
      </c>
      <c r="N30" s="83" t="inlineStr">
        <is>
          <t>A</t>
        </is>
      </c>
      <c r="O30" s="83" t="inlineStr">
        <is>
          <t>P</t>
        </is>
      </c>
      <c r="P30" s="83" t="inlineStr">
        <is>
          <t>P</t>
        </is>
      </c>
      <c r="Q30" s="83" t="inlineStr">
        <is>
          <t>P</t>
        </is>
      </c>
      <c r="R30" s="83" t="inlineStr">
        <is>
          <t>P</t>
        </is>
      </c>
      <c r="S30" s="83" t="inlineStr">
        <is>
          <t>A</t>
        </is>
      </c>
      <c r="T30" s="83" t="inlineStr">
        <is>
          <t>A</t>
        </is>
      </c>
      <c r="U30" s="83" t="inlineStr">
        <is>
          <t>P</t>
        </is>
      </c>
      <c r="V30" s="83" t="inlineStr">
        <is>
          <t>P</t>
        </is>
      </c>
      <c r="W30" s="83" t="inlineStr">
        <is>
          <t>A</t>
        </is>
      </c>
      <c r="X30" s="83" t="inlineStr">
        <is>
          <t>A</t>
        </is>
      </c>
      <c r="Y30" s="165" t="n"/>
      <c r="Z30" s="81" t="n"/>
      <c r="AA30" s="81" t="n"/>
      <c r="AB30" s="81" t="n"/>
      <c r="AC30" s="8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>
        <f>COUNTIF(F30:BK30,"P")</f>
        <v/>
      </c>
      <c r="BM30" s="71">
        <f>SUM((BL30/BL12)*100)</f>
        <v/>
      </c>
    </row>
    <row r="31" ht="21" customHeight="1" s="55">
      <c r="A31" s="73" t="n">
        <v>19</v>
      </c>
      <c r="B31" s="74" t="n">
        <v>2410984</v>
      </c>
      <c r="C31" s="75" t="n">
        <v>3122245002085</v>
      </c>
      <c r="D31" s="76" t="inlineStr">
        <is>
          <t>Sahana A</t>
        </is>
      </c>
      <c r="E31" s="76" t="inlineStr">
        <is>
          <t>sahana2410984@ssn.edu.in</t>
        </is>
      </c>
      <c r="F31" s="167" t="inlineStr">
        <is>
          <t>P</t>
        </is>
      </c>
      <c r="G31" s="82" t="inlineStr">
        <is>
          <t>P</t>
        </is>
      </c>
      <c r="H31" s="82" t="inlineStr">
        <is>
          <t>A</t>
        </is>
      </c>
      <c r="I31" s="82" t="inlineStr">
        <is>
          <t>P</t>
        </is>
      </c>
      <c r="J31" s="82" t="inlineStr">
        <is>
          <t>P</t>
        </is>
      </c>
      <c r="K31" s="82" t="inlineStr">
        <is>
          <t>A</t>
        </is>
      </c>
      <c r="L31" s="82" t="inlineStr">
        <is>
          <t>P</t>
        </is>
      </c>
      <c r="M31" s="82" t="inlineStr">
        <is>
          <t>P</t>
        </is>
      </c>
      <c r="N31" s="83" t="inlineStr">
        <is>
          <t>A</t>
        </is>
      </c>
      <c r="O31" s="83" t="inlineStr">
        <is>
          <t>P</t>
        </is>
      </c>
      <c r="P31" s="83" t="inlineStr">
        <is>
          <t>P</t>
        </is>
      </c>
      <c r="Q31" s="83" t="inlineStr">
        <is>
          <t>A</t>
        </is>
      </c>
      <c r="R31" s="83" t="inlineStr">
        <is>
          <t>P</t>
        </is>
      </c>
      <c r="S31" s="83" t="inlineStr">
        <is>
          <t>P</t>
        </is>
      </c>
      <c r="T31" s="83" t="inlineStr">
        <is>
          <t>P</t>
        </is>
      </c>
      <c r="U31" s="83" t="inlineStr">
        <is>
          <t>P</t>
        </is>
      </c>
      <c r="V31" s="83" t="inlineStr">
        <is>
          <t>A</t>
        </is>
      </c>
      <c r="W31" s="83" t="inlineStr">
        <is>
          <t>P</t>
        </is>
      </c>
      <c r="X31" s="83" t="inlineStr">
        <is>
          <t>P</t>
        </is>
      </c>
      <c r="Y31" s="165" t="n"/>
      <c r="Z31" s="81" t="n"/>
      <c r="AA31" s="81" t="n"/>
      <c r="AB31" s="81" t="n"/>
      <c r="AC31" s="8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 t="n"/>
      <c r="BJ31" s="71" t="n"/>
      <c r="BK31" s="71" t="n"/>
      <c r="BL31" s="71">
        <f>COUNTIF(F31:BK31,"P")</f>
        <v/>
      </c>
      <c r="BM31" s="71">
        <f>SUM((BL31/BL12)*100)</f>
        <v/>
      </c>
    </row>
    <row r="32" ht="21" customHeight="1" s="55">
      <c r="A32" s="73" t="n">
        <v>20</v>
      </c>
      <c r="B32" s="74" t="n">
        <v>2410091</v>
      </c>
      <c r="C32" s="75" t="n">
        <v>3122245002086</v>
      </c>
      <c r="D32" s="76" t="inlineStr">
        <is>
          <t>Sandhya B</t>
        </is>
      </c>
      <c r="E32" s="76" t="inlineStr">
        <is>
          <t>sandhya2410091@ssn.edu.in</t>
        </is>
      </c>
      <c r="F32" s="167" t="inlineStr">
        <is>
          <t>P</t>
        </is>
      </c>
      <c r="G32" s="82" t="inlineStr">
        <is>
          <t>P</t>
        </is>
      </c>
      <c r="H32" s="82" t="inlineStr">
        <is>
          <t>P</t>
        </is>
      </c>
      <c r="I32" s="82" t="inlineStr">
        <is>
          <t>P</t>
        </is>
      </c>
      <c r="J32" s="82" t="inlineStr">
        <is>
          <t>P</t>
        </is>
      </c>
      <c r="K32" s="82" t="inlineStr">
        <is>
          <t>P</t>
        </is>
      </c>
      <c r="L32" s="82" t="inlineStr">
        <is>
          <t>P</t>
        </is>
      </c>
      <c r="M32" s="82" t="inlineStr">
        <is>
          <t>P</t>
        </is>
      </c>
      <c r="N32" s="83" t="inlineStr">
        <is>
          <t>A</t>
        </is>
      </c>
      <c r="O32" s="83" t="inlineStr">
        <is>
          <t>P</t>
        </is>
      </c>
      <c r="P32" s="83" t="inlineStr">
        <is>
          <t>P</t>
        </is>
      </c>
      <c r="Q32" s="83" t="inlineStr">
        <is>
          <t>P</t>
        </is>
      </c>
      <c r="R32" s="83" t="inlineStr">
        <is>
          <t>P</t>
        </is>
      </c>
      <c r="S32" s="83" t="inlineStr">
        <is>
          <t>P</t>
        </is>
      </c>
      <c r="T32" s="83" t="inlineStr">
        <is>
          <t>A</t>
        </is>
      </c>
      <c r="U32" s="83" t="inlineStr">
        <is>
          <t>P</t>
        </is>
      </c>
      <c r="V32" s="83" t="inlineStr">
        <is>
          <t>P</t>
        </is>
      </c>
      <c r="W32" s="83" t="inlineStr">
        <is>
          <t>P</t>
        </is>
      </c>
      <c r="X32" s="83" t="inlineStr">
        <is>
          <t>P</t>
        </is>
      </c>
      <c r="Y32" s="165" t="n"/>
      <c r="Z32" s="81" t="n"/>
      <c r="AA32" s="81" t="n"/>
      <c r="AB32" s="81" t="n"/>
      <c r="AC32" s="8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 t="n"/>
      <c r="BJ32" s="71" t="n"/>
      <c r="BK32" s="71" t="n"/>
      <c r="BL32" s="71">
        <f>COUNTIF(F32:BK32,"P")</f>
        <v/>
      </c>
      <c r="BM32" s="71">
        <f>SUM((BL32/BL12)*100)</f>
        <v/>
      </c>
    </row>
    <row r="33" ht="21" customHeight="1" s="55">
      <c r="A33" s="73" t="n">
        <v>21</v>
      </c>
      <c r="B33" s="74" t="n">
        <v>2410706</v>
      </c>
      <c r="C33" s="75" t="n">
        <v>3122245002087</v>
      </c>
      <c r="D33" s="76" t="inlineStr">
        <is>
          <t>Sandhya S</t>
        </is>
      </c>
      <c r="E33" s="76" t="inlineStr">
        <is>
          <t>sandhya2410706@ssn.edu.in</t>
        </is>
      </c>
      <c r="F33" s="167" t="inlineStr">
        <is>
          <t>P</t>
        </is>
      </c>
      <c r="G33" s="82" t="inlineStr">
        <is>
          <t>P</t>
        </is>
      </c>
      <c r="H33" s="82" t="inlineStr">
        <is>
          <t>P</t>
        </is>
      </c>
      <c r="I33" s="82" t="inlineStr">
        <is>
          <t>P</t>
        </is>
      </c>
      <c r="J33" s="82" t="inlineStr">
        <is>
          <t>P</t>
        </is>
      </c>
      <c r="K33" s="82" t="inlineStr">
        <is>
          <t>P</t>
        </is>
      </c>
      <c r="L33" s="82" t="inlineStr">
        <is>
          <t>A</t>
        </is>
      </c>
      <c r="M33" s="82" t="inlineStr">
        <is>
          <t>A</t>
        </is>
      </c>
      <c r="N33" s="83" t="inlineStr">
        <is>
          <t>A</t>
        </is>
      </c>
      <c r="O33" s="83" t="inlineStr">
        <is>
          <t>P</t>
        </is>
      </c>
      <c r="P33" s="83" t="inlineStr">
        <is>
          <t>A</t>
        </is>
      </c>
      <c r="Q33" s="83" t="inlineStr">
        <is>
          <t>P</t>
        </is>
      </c>
      <c r="R33" s="83" t="inlineStr">
        <is>
          <t>P</t>
        </is>
      </c>
      <c r="S33" s="83" t="inlineStr">
        <is>
          <t>P</t>
        </is>
      </c>
      <c r="T33" s="83" t="inlineStr">
        <is>
          <t>P</t>
        </is>
      </c>
      <c r="U33" s="83" t="inlineStr">
        <is>
          <t>P</t>
        </is>
      </c>
      <c r="V33" s="83" t="inlineStr">
        <is>
          <t>A</t>
        </is>
      </c>
      <c r="W33" s="83" t="inlineStr">
        <is>
          <t>P</t>
        </is>
      </c>
      <c r="X33" s="83" t="inlineStr">
        <is>
          <t>A</t>
        </is>
      </c>
      <c r="Y33" s="165" t="n"/>
      <c r="Z33" s="81" t="n"/>
      <c r="AA33" s="81" t="n"/>
      <c r="AB33" s="81" t="n"/>
      <c r="AC33" s="8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 t="n"/>
      <c r="BJ33" s="71" t="n"/>
      <c r="BK33" s="71" t="n"/>
      <c r="BL33" s="71">
        <f>COUNTIF(F33:BK33,"P")</f>
        <v/>
      </c>
      <c r="BM33" s="71">
        <f>SUM((BL33/BL12)*100)</f>
        <v/>
      </c>
    </row>
    <row r="34" ht="21" customHeight="1" s="55">
      <c r="A34" s="73" t="n">
        <v>22</v>
      </c>
      <c r="B34" s="74" t="n">
        <v>2410778</v>
      </c>
      <c r="C34" s="75" t="n">
        <v>3122245002088</v>
      </c>
      <c r="D34" s="76" t="inlineStr">
        <is>
          <t>Sangaraju Sathwik</t>
        </is>
      </c>
      <c r="E34" s="76" t="inlineStr">
        <is>
          <t>sangaraju2410778@ssn.edu.in</t>
        </is>
      </c>
      <c r="F34" s="167" t="inlineStr">
        <is>
          <t>P</t>
        </is>
      </c>
      <c r="G34" s="82" t="inlineStr">
        <is>
          <t>P</t>
        </is>
      </c>
      <c r="H34" s="82" t="inlineStr">
        <is>
          <t>A</t>
        </is>
      </c>
      <c r="I34" s="82" t="inlineStr">
        <is>
          <t>P</t>
        </is>
      </c>
      <c r="J34" s="82" t="inlineStr">
        <is>
          <t>P</t>
        </is>
      </c>
      <c r="K34" s="82" t="inlineStr">
        <is>
          <t>A</t>
        </is>
      </c>
      <c r="L34" s="82" t="inlineStr">
        <is>
          <t>A</t>
        </is>
      </c>
      <c r="M34" s="82" t="inlineStr">
        <is>
          <t>A</t>
        </is>
      </c>
      <c r="N34" s="83" t="inlineStr">
        <is>
          <t>A</t>
        </is>
      </c>
      <c r="O34" s="83" t="inlineStr">
        <is>
          <t>P</t>
        </is>
      </c>
      <c r="P34" s="83" t="inlineStr">
        <is>
          <t>A</t>
        </is>
      </c>
      <c r="Q34" s="83" t="inlineStr">
        <is>
          <t>A</t>
        </is>
      </c>
      <c r="R34" s="83" t="inlineStr">
        <is>
          <t>P</t>
        </is>
      </c>
      <c r="S34" s="83" t="inlineStr">
        <is>
          <t>A</t>
        </is>
      </c>
      <c r="T34" s="83" t="inlineStr">
        <is>
          <t>P</t>
        </is>
      </c>
      <c r="U34" s="83" t="inlineStr">
        <is>
          <t>A</t>
        </is>
      </c>
      <c r="V34" s="83" t="inlineStr">
        <is>
          <t>P</t>
        </is>
      </c>
      <c r="W34" s="83" t="inlineStr">
        <is>
          <t>A</t>
        </is>
      </c>
      <c r="X34" s="83" t="inlineStr">
        <is>
          <t>A</t>
        </is>
      </c>
      <c r="Y34" s="165" t="n"/>
      <c r="Z34" s="81" t="n"/>
      <c r="AA34" s="81" t="n"/>
      <c r="AB34" s="81" t="n"/>
      <c r="AC34" s="8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 t="n"/>
      <c r="BJ34" s="71" t="n"/>
      <c r="BK34" s="71" t="n"/>
      <c r="BL34" s="71">
        <f>COUNTIF(F34:BK34,"P")</f>
        <v/>
      </c>
      <c r="BM34" s="71">
        <f>SUM((BL34/BL12)*100)</f>
        <v/>
      </c>
    </row>
    <row r="35" ht="21" customHeight="1" s="55">
      <c r="A35" s="73" t="n">
        <v>23</v>
      </c>
      <c r="B35" s="74" t="n">
        <v>2410162</v>
      </c>
      <c r="C35" s="75" t="n">
        <v>3122245002089</v>
      </c>
      <c r="D35" s="76" t="inlineStr">
        <is>
          <t>Sanjana Shankar</t>
        </is>
      </c>
      <c r="E35" s="76" t="inlineStr">
        <is>
          <t>sanjana2410162@ssn.edu.in</t>
        </is>
      </c>
      <c r="F35" s="167" t="inlineStr">
        <is>
          <t>P</t>
        </is>
      </c>
      <c r="G35" s="82" t="inlineStr">
        <is>
          <t>P</t>
        </is>
      </c>
      <c r="H35" s="82" t="inlineStr">
        <is>
          <t>A</t>
        </is>
      </c>
      <c r="I35" s="82" t="inlineStr">
        <is>
          <t>A</t>
        </is>
      </c>
      <c r="J35" s="82" t="inlineStr">
        <is>
          <t>A</t>
        </is>
      </c>
      <c r="K35" s="82" t="inlineStr">
        <is>
          <t>A</t>
        </is>
      </c>
      <c r="L35" s="82" t="inlineStr">
        <is>
          <t>A</t>
        </is>
      </c>
      <c r="M35" s="82" t="inlineStr">
        <is>
          <t>A</t>
        </is>
      </c>
      <c r="N35" s="83" t="inlineStr">
        <is>
          <t>A</t>
        </is>
      </c>
      <c r="O35" s="83" t="inlineStr">
        <is>
          <t>P</t>
        </is>
      </c>
      <c r="P35" s="83" t="inlineStr">
        <is>
          <t>P</t>
        </is>
      </c>
      <c r="Q35" s="83" t="inlineStr">
        <is>
          <t>P</t>
        </is>
      </c>
      <c r="R35" s="83" t="inlineStr">
        <is>
          <t>A</t>
        </is>
      </c>
      <c r="S35" s="83" t="inlineStr">
        <is>
          <t>A</t>
        </is>
      </c>
      <c r="T35" s="83" t="inlineStr">
        <is>
          <t>A</t>
        </is>
      </c>
      <c r="U35" s="83" t="inlineStr">
        <is>
          <t>A</t>
        </is>
      </c>
      <c r="V35" s="83" t="inlineStr">
        <is>
          <t>A</t>
        </is>
      </c>
      <c r="W35" s="83" t="inlineStr">
        <is>
          <t>A</t>
        </is>
      </c>
      <c r="X35" s="83" t="inlineStr">
        <is>
          <t>P</t>
        </is>
      </c>
      <c r="Y35" s="165" t="n"/>
      <c r="Z35" s="81" t="n"/>
      <c r="AA35" s="81" t="n"/>
      <c r="AB35" s="81" t="n"/>
      <c r="AC35" s="8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 t="n"/>
      <c r="BJ35" s="71" t="n"/>
      <c r="BK35" s="71" t="n"/>
      <c r="BL35" s="71">
        <f>COUNTIF(F35:BK35,"P")</f>
        <v/>
      </c>
      <c r="BM35" s="71">
        <f>SUM((BL35/BL12)*100)</f>
        <v/>
      </c>
    </row>
    <row r="36" ht="21" customHeight="1" s="55">
      <c r="A36" s="73" t="n">
        <v>24</v>
      </c>
      <c r="B36" s="74" t="n">
        <v>2410514</v>
      </c>
      <c r="C36" s="75" t="n">
        <v>3122245002090</v>
      </c>
      <c r="D36" s="76" t="inlineStr">
        <is>
          <t>Sanjay J</t>
        </is>
      </c>
      <c r="E36" s="76" t="inlineStr">
        <is>
          <t>sanjay2410514@ssn.edu.in</t>
        </is>
      </c>
      <c r="F36" s="167" t="inlineStr">
        <is>
          <t>P</t>
        </is>
      </c>
      <c r="G36" s="82" t="inlineStr">
        <is>
          <t>P</t>
        </is>
      </c>
      <c r="H36" s="82" t="inlineStr">
        <is>
          <t>A</t>
        </is>
      </c>
      <c r="I36" s="82" t="inlineStr">
        <is>
          <t>A</t>
        </is>
      </c>
      <c r="J36" s="82" t="inlineStr">
        <is>
          <t>A</t>
        </is>
      </c>
      <c r="K36" s="82" t="inlineStr">
        <is>
          <t>P</t>
        </is>
      </c>
      <c r="L36" s="82" t="inlineStr">
        <is>
          <t>P</t>
        </is>
      </c>
      <c r="M36" s="82" t="inlineStr">
        <is>
          <t>P</t>
        </is>
      </c>
      <c r="N36" s="83" t="inlineStr">
        <is>
          <t>A</t>
        </is>
      </c>
      <c r="O36" s="83" t="inlineStr">
        <is>
          <t>P</t>
        </is>
      </c>
      <c r="P36" s="83" t="inlineStr">
        <is>
          <t>A</t>
        </is>
      </c>
      <c r="Q36" s="83" t="inlineStr">
        <is>
          <t>P</t>
        </is>
      </c>
      <c r="R36" s="83" t="inlineStr">
        <is>
          <t>P</t>
        </is>
      </c>
      <c r="S36" s="83" t="inlineStr">
        <is>
          <t>P</t>
        </is>
      </c>
      <c r="T36" s="83" t="inlineStr">
        <is>
          <t>A</t>
        </is>
      </c>
      <c r="U36" s="83" t="inlineStr">
        <is>
          <t>P</t>
        </is>
      </c>
      <c r="V36" s="83" t="inlineStr">
        <is>
          <t>P</t>
        </is>
      </c>
      <c r="W36" s="83" t="inlineStr">
        <is>
          <t>A</t>
        </is>
      </c>
      <c r="X36" s="83" t="inlineStr">
        <is>
          <t>A</t>
        </is>
      </c>
      <c r="Y36" s="165" t="n"/>
      <c r="Z36" s="81" t="n"/>
      <c r="AA36" s="81" t="n"/>
      <c r="AB36" s="81" t="n"/>
      <c r="AC36" s="8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 t="n"/>
      <c r="BJ36" s="71" t="n"/>
      <c r="BK36" s="71" t="n"/>
      <c r="BL36" s="71">
        <f>COUNTIF(F36:BK36,"P")</f>
        <v/>
      </c>
      <c r="BM36" s="71">
        <f>SUM((BL36/BL12)*100)</f>
        <v/>
      </c>
    </row>
    <row r="37" ht="21" customHeight="1" s="55">
      <c r="A37" s="73" t="n">
        <v>25</v>
      </c>
      <c r="B37" s="74" t="n">
        <v>2410068</v>
      </c>
      <c r="C37" s="75" t="n">
        <v>3122245002091</v>
      </c>
      <c r="D37" s="76" t="inlineStr">
        <is>
          <t>Sanjay Raam S</t>
        </is>
      </c>
      <c r="E37" s="76" t="inlineStr">
        <is>
          <t>sanjayraam2410068@ssn.edu.in</t>
        </is>
      </c>
      <c r="F37" s="167" t="inlineStr">
        <is>
          <t>P</t>
        </is>
      </c>
      <c r="G37" s="82" t="inlineStr">
        <is>
          <t>P</t>
        </is>
      </c>
      <c r="H37" s="82" t="inlineStr">
        <is>
          <t>P</t>
        </is>
      </c>
      <c r="I37" s="82" t="inlineStr">
        <is>
          <t>A</t>
        </is>
      </c>
      <c r="J37" s="82" t="inlineStr">
        <is>
          <t>A</t>
        </is>
      </c>
      <c r="K37" s="82" t="inlineStr">
        <is>
          <t>A</t>
        </is>
      </c>
      <c r="L37" s="82" t="inlineStr">
        <is>
          <t>A</t>
        </is>
      </c>
      <c r="M37" s="82" t="inlineStr">
        <is>
          <t>A</t>
        </is>
      </c>
      <c r="N37" s="83" t="inlineStr">
        <is>
          <t>A</t>
        </is>
      </c>
      <c r="O37" s="83" t="inlineStr">
        <is>
          <t>A</t>
        </is>
      </c>
      <c r="P37" s="83" t="inlineStr">
        <is>
          <t>A</t>
        </is>
      </c>
      <c r="Q37" s="83" t="inlineStr">
        <is>
          <t>P</t>
        </is>
      </c>
      <c r="R37" s="83" t="inlineStr">
        <is>
          <t>P</t>
        </is>
      </c>
      <c r="S37" s="83" t="inlineStr">
        <is>
          <t>P</t>
        </is>
      </c>
      <c r="T37" s="83" t="inlineStr">
        <is>
          <t>A</t>
        </is>
      </c>
      <c r="U37" s="83" t="inlineStr">
        <is>
          <t>A</t>
        </is>
      </c>
      <c r="V37" s="83" t="inlineStr">
        <is>
          <t>P</t>
        </is>
      </c>
      <c r="W37" s="83" t="inlineStr">
        <is>
          <t>A</t>
        </is>
      </c>
      <c r="X37" s="83" t="inlineStr">
        <is>
          <t>P</t>
        </is>
      </c>
      <c r="Y37" s="165" t="n"/>
      <c r="Z37" s="81" t="n"/>
      <c r="AA37" s="81" t="n"/>
      <c r="AB37" s="81" t="n"/>
      <c r="AC37" s="8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 t="n"/>
      <c r="BJ37" s="71" t="n"/>
      <c r="BK37" s="71" t="n"/>
      <c r="BL37" s="71">
        <f>COUNTIF(F37:BK37,"P")</f>
        <v/>
      </c>
      <c r="BM37" s="71">
        <f>SUM((BL37/BL12)*100)</f>
        <v/>
      </c>
    </row>
    <row r="38" ht="21" customHeight="1" s="55">
      <c r="A38" s="73" t="n">
        <v>26</v>
      </c>
      <c r="B38" s="74" t="n">
        <v>2410185</v>
      </c>
      <c r="C38" s="75" t="n">
        <v>3122245002092</v>
      </c>
      <c r="D38" s="76" t="inlineStr">
        <is>
          <t>Sanjay T</t>
        </is>
      </c>
      <c r="E38" s="76" t="inlineStr">
        <is>
          <t>sanjay2410185@ssn.edu.in</t>
        </is>
      </c>
      <c r="F38" s="167" t="inlineStr">
        <is>
          <t>P</t>
        </is>
      </c>
      <c r="G38" s="82" t="inlineStr">
        <is>
          <t>P</t>
        </is>
      </c>
      <c r="H38" s="82" t="inlineStr">
        <is>
          <t>P</t>
        </is>
      </c>
      <c r="I38" s="82" t="inlineStr">
        <is>
          <t>P</t>
        </is>
      </c>
      <c r="J38" s="82" t="inlineStr">
        <is>
          <t>P</t>
        </is>
      </c>
      <c r="K38" s="82" t="inlineStr">
        <is>
          <t>A</t>
        </is>
      </c>
      <c r="L38" s="82" t="inlineStr">
        <is>
          <t>A</t>
        </is>
      </c>
      <c r="M38" s="82" t="inlineStr">
        <is>
          <t>A</t>
        </is>
      </c>
      <c r="N38" s="83" t="inlineStr">
        <is>
          <t>A</t>
        </is>
      </c>
      <c r="O38" s="83" t="inlineStr">
        <is>
          <t>P</t>
        </is>
      </c>
      <c r="P38" s="85" t="inlineStr">
        <is>
          <t>P</t>
        </is>
      </c>
      <c r="Q38" s="85" t="inlineStr">
        <is>
          <t>P</t>
        </is>
      </c>
      <c r="R38" s="83" t="inlineStr">
        <is>
          <t>P</t>
        </is>
      </c>
      <c r="S38" s="83" t="inlineStr">
        <is>
          <t>P</t>
        </is>
      </c>
      <c r="T38" s="83" t="inlineStr">
        <is>
          <t>A</t>
        </is>
      </c>
      <c r="U38" s="83" t="inlineStr">
        <is>
          <t>P</t>
        </is>
      </c>
      <c r="V38" s="83" t="inlineStr">
        <is>
          <t>A</t>
        </is>
      </c>
      <c r="W38" s="83" t="inlineStr">
        <is>
          <t>A</t>
        </is>
      </c>
      <c r="X38" s="83" t="inlineStr">
        <is>
          <t>P</t>
        </is>
      </c>
      <c r="Y38" s="165" t="n"/>
      <c r="Z38" s="81" t="n"/>
      <c r="AA38" s="81" t="n"/>
      <c r="AB38" s="81" t="n"/>
      <c r="AC38" s="8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 t="n"/>
      <c r="BJ38" s="71" t="n"/>
      <c r="BK38" s="71" t="n"/>
      <c r="BL38" s="71">
        <f>COUNTIF(F38:BK38,"P")</f>
        <v/>
      </c>
      <c r="BM38" s="71">
        <f>SUM((BL38/BL12)*100)</f>
        <v/>
      </c>
    </row>
    <row r="39" ht="21" customHeight="1" s="55">
      <c r="A39" s="73" t="n">
        <v>27</v>
      </c>
      <c r="B39" s="74" t="n">
        <v>2410988</v>
      </c>
      <c r="C39" s="75" t="n">
        <v>3122245002093</v>
      </c>
      <c r="D39" s="76" t="inlineStr">
        <is>
          <t>Santhosh Aaron C</t>
        </is>
      </c>
      <c r="E39" s="76" t="inlineStr">
        <is>
          <t>santhosh2410988@ssn.edu.in</t>
        </is>
      </c>
      <c r="F39" s="167" t="inlineStr">
        <is>
          <t>P</t>
        </is>
      </c>
      <c r="G39" s="82" t="inlineStr">
        <is>
          <t>P</t>
        </is>
      </c>
      <c r="H39" s="82" t="inlineStr">
        <is>
          <t>P</t>
        </is>
      </c>
      <c r="I39" s="82" t="inlineStr">
        <is>
          <t>A</t>
        </is>
      </c>
      <c r="J39" s="82" t="inlineStr">
        <is>
          <t>A</t>
        </is>
      </c>
      <c r="K39" s="82" t="inlineStr">
        <is>
          <t>P</t>
        </is>
      </c>
      <c r="L39" s="82" t="inlineStr">
        <is>
          <t>P</t>
        </is>
      </c>
      <c r="M39" s="82" t="inlineStr">
        <is>
          <t>P</t>
        </is>
      </c>
      <c r="N39" s="83" t="inlineStr">
        <is>
          <t>A</t>
        </is>
      </c>
      <c r="O39" s="83" t="inlineStr">
        <is>
          <t>P</t>
        </is>
      </c>
      <c r="P39" s="83" t="inlineStr">
        <is>
          <t>A</t>
        </is>
      </c>
      <c r="Q39" s="83" t="inlineStr">
        <is>
          <t>P</t>
        </is>
      </c>
      <c r="R39" s="83" t="inlineStr">
        <is>
          <t>P</t>
        </is>
      </c>
      <c r="S39" s="83" t="inlineStr">
        <is>
          <t>P</t>
        </is>
      </c>
      <c r="T39" s="83" t="inlineStr">
        <is>
          <t>A</t>
        </is>
      </c>
      <c r="U39" s="83" t="inlineStr">
        <is>
          <t>P</t>
        </is>
      </c>
      <c r="V39" s="83" t="inlineStr">
        <is>
          <t>P</t>
        </is>
      </c>
      <c r="W39" s="83" t="inlineStr">
        <is>
          <t>A</t>
        </is>
      </c>
      <c r="X39" s="83" t="inlineStr">
        <is>
          <t>A</t>
        </is>
      </c>
      <c r="Y39" s="165" t="n"/>
      <c r="Z39" s="81" t="n"/>
      <c r="AA39" s="81" t="n"/>
      <c r="AB39" s="81" t="n"/>
      <c r="AC39" s="8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 t="n"/>
      <c r="BJ39" s="71" t="n"/>
      <c r="BK39" s="71" t="n"/>
      <c r="BL39" s="71">
        <f>COUNTIF(F39:BK39,"P")</f>
        <v/>
      </c>
      <c r="BM39" s="71">
        <f>SUM((BL39/BL12)*100)</f>
        <v/>
      </c>
    </row>
    <row r="40" ht="21" customHeight="1" s="55">
      <c r="A40" s="73" t="n">
        <v>28</v>
      </c>
      <c r="B40" s="74" t="n">
        <v>2410488</v>
      </c>
      <c r="C40" s="75" t="n">
        <v>3122245002094</v>
      </c>
      <c r="D40" s="76" t="inlineStr">
        <is>
          <t>Sarvesh K</t>
        </is>
      </c>
      <c r="E40" s="76" t="inlineStr">
        <is>
          <t>sarvesh2410488@ssn.edu.in</t>
        </is>
      </c>
      <c r="F40" s="167" t="inlineStr">
        <is>
          <t>P</t>
        </is>
      </c>
      <c r="G40" s="82" t="inlineStr">
        <is>
          <t>P</t>
        </is>
      </c>
      <c r="H40" s="82" t="inlineStr">
        <is>
          <t>A</t>
        </is>
      </c>
      <c r="I40" s="82" t="inlineStr">
        <is>
          <t>P</t>
        </is>
      </c>
      <c r="J40" s="82" t="inlineStr">
        <is>
          <t>P</t>
        </is>
      </c>
      <c r="K40" s="82" t="inlineStr">
        <is>
          <t>P</t>
        </is>
      </c>
      <c r="L40" s="82" t="inlineStr">
        <is>
          <t>P</t>
        </is>
      </c>
      <c r="M40" s="82" t="inlineStr">
        <is>
          <t>P</t>
        </is>
      </c>
      <c r="N40" s="83" t="inlineStr">
        <is>
          <t>A</t>
        </is>
      </c>
      <c r="O40" s="83" t="inlineStr">
        <is>
          <t>P</t>
        </is>
      </c>
      <c r="P40" s="83" t="inlineStr">
        <is>
          <t>P</t>
        </is>
      </c>
      <c r="Q40" s="83" t="inlineStr">
        <is>
          <t>A</t>
        </is>
      </c>
      <c r="R40" s="83" t="inlineStr">
        <is>
          <t>P</t>
        </is>
      </c>
      <c r="S40" s="83" t="inlineStr">
        <is>
          <t>A</t>
        </is>
      </c>
      <c r="T40" s="83" t="inlineStr">
        <is>
          <t>P</t>
        </is>
      </c>
      <c r="U40" s="83" t="inlineStr">
        <is>
          <t>P</t>
        </is>
      </c>
      <c r="V40" s="83" t="inlineStr">
        <is>
          <t>P</t>
        </is>
      </c>
      <c r="W40" s="83" t="inlineStr">
        <is>
          <t>P</t>
        </is>
      </c>
      <c r="X40" s="83" t="inlineStr">
        <is>
          <t>A</t>
        </is>
      </c>
      <c r="Y40" s="165" t="n"/>
      <c r="Z40" s="81" t="n"/>
      <c r="AA40" s="81" t="n"/>
      <c r="AB40" s="81" t="n"/>
      <c r="AC40" s="8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 t="n"/>
      <c r="BJ40" s="71" t="n"/>
      <c r="BK40" s="71" t="n"/>
      <c r="BL40" s="71">
        <f>COUNTIF(F40:BK40,"P")</f>
        <v/>
      </c>
      <c r="BM40" s="71">
        <f>SUM((BL40/BL12)*100)</f>
        <v/>
      </c>
    </row>
    <row r="41" ht="21" customHeight="1" s="55">
      <c r="A41" s="73" t="n">
        <v>29</v>
      </c>
      <c r="B41" s="74" t="n">
        <v>2410076</v>
      </c>
      <c r="C41" s="75" t="n">
        <v>3122245002095</v>
      </c>
      <c r="D41" s="76" t="inlineStr">
        <is>
          <t>Sarvesh S</t>
        </is>
      </c>
      <c r="E41" s="76" t="inlineStr">
        <is>
          <t>sarvesh2410076@ssn.edu.in</t>
        </is>
      </c>
      <c r="F41" s="167" t="inlineStr">
        <is>
          <t>P</t>
        </is>
      </c>
      <c r="G41" s="82" t="inlineStr">
        <is>
          <t>P</t>
        </is>
      </c>
      <c r="H41" s="82" t="inlineStr">
        <is>
          <t>P</t>
        </is>
      </c>
      <c r="I41" s="82" t="inlineStr">
        <is>
          <t>P</t>
        </is>
      </c>
      <c r="J41" s="82" t="inlineStr">
        <is>
          <t>P</t>
        </is>
      </c>
      <c r="K41" s="82" t="inlineStr">
        <is>
          <t>P</t>
        </is>
      </c>
      <c r="L41" s="82" t="inlineStr">
        <is>
          <t>P</t>
        </is>
      </c>
      <c r="M41" s="82" t="inlineStr">
        <is>
          <t>P</t>
        </is>
      </c>
      <c r="N41" s="83" t="inlineStr">
        <is>
          <t>P</t>
        </is>
      </c>
      <c r="O41" s="83" t="inlineStr">
        <is>
          <t>P</t>
        </is>
      </c>
      <c r="P41" s="83" t="inlineStr">
        <is>
          <t>A</t>
        </is>
      </c>
      <c r="Q41" s="83" t="inlineStr">
        <is>
          <t>P</t>
        </is>
      </c>
      <c r="R41" s="83" t="inlineStr">
        <is>
          <t>P</t>
        </is>
      </c>
      <c r="S41" s="83" t="inlineStr">
        <is>
          <t>A</t>
        </is>
      </c>
      <c r="T41" s="83" t="inlineStr">
        <is>
          <t>A</t>
        </is>
      </c>
      <c r="U41" s="83" t="inlineStr">
        <is>
          <t>P</t>
        </is>
      </c>
      <c r="V41" s="83" t="inlineStr">
        <is>
          <t>P</t>
        </is>
      </c>
      <c r="W41" s="83" t="inlineStr">
        <is>
          <t>P</t>
        </is>
      </c>
      <c r="X41" s="83" t="inlineStr">
        <is>
          <t>P</t>
        </is>
      </c>
      <c r="Y41" s="165" t="n"/>
      <c r="Z41" s="81" t="n"/>
      <c r="AA41" s="81" t="n"/>
      <c r="AB41" s="81" t="n"/>
      <c r="AC41" s="8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 t="n"/>
      <c r="BJ41" s="71" t="n"/>
      <c r="BK41" s="71" t="n"/>
      <c r="BL41" s="71">
        <f>COUNTIF(F41:BK41,"P")</f>
        <v/>
      </c>
      <c r="BM41" s="71">
        <f>SUM((BL41/BL12)*100)</f>
        <v/>
      </c>
    </row>
    <row r="42" ht="21" customHeight="1" s="55">
      <c r="A42" s="73" t="n">
        <v>30</v>
      </c>
      <c r="B42" s="74" t="n">
        <v>2410740</v>
      </c>
      <c r="C42" s="75" t="n">
        <v>3122245002096</v>
      </c>
      <c r="D42" s="76" t="inlineStr">
        <is>
          <t>Sarvesh S</t>
        </is>
      </c>
      <c r="E42" s="76" t="inlineStr">
        <is>
          <t>sarvesh2410740@ssn.edu.in</t>
        </is>
      </c>
      <c r="F42" s="167" t="inlineStr">
        <is>
          <t>P</t>
        </is>
      </c>
      <c r="G42" s="82" t="inlineStr">
        <is>
          <t>P</t>
        </is>
      </c>
      <c r="H42" s="82" t="inlineStr">
        <is>
          <t>P</t>
        </is>
      </c>
      <c r="I42" s="82" t="inlineStr">
        <is>
          <t>P</t>
        </is>
      </c>
      <c r="J42" s="82" t="inlineStr">
        <is>
          <t>P</t>
        </is>
      </c>
      <c r="K42" s="82" t="inlineStr">
        <is>
          <t>P</t>
        </is>
      </c>
      <c r="L42" s="82" t="inlineStr">
        <is>
          <t>P</t>
        </is>
      </c>
      <c r="M42" s="82" t="inlineStr">
        <is>
          <t>P</t>
        </is>
      </c>
      <c r="N42" s="83" t="inlineStr">
        <is>
          <t>A</t>
        </is>
      </c>
      <c r="O42" s="83" t="inlineStr">
        <is>
          <t>P</t>
        </is>
      </c>
      <c r="P42" s="83" t="inlineStr">
        <is>
          <t>A</t>
        </is>
      </c>
      <c r="Q42" s="83" t="inlineStr">
        <is>
          <t>P</t>
        </is>
      </c>
      <c r="R42" s="83" t="inlineStr">
        <is>
          <t>P</t>
        </is>
      </c>
      <c r="S42" s="83" t="inlineStr">
        <is>
          <t>P</t>
        </is>
      </c>
      <c r="T42" s="83" t="inlineStr">
        <is>
          <t>A</t>
        </is>
      </c>
      <c r="U42" s="83" t="inlineStr">
        <is>
          <t>P</t>
        </is>
      </c>
      <c r="V42" s="83" t="inlineStr">
        <is>
          <t>P</t>
        </is>
      </c>
      <c r="W42" s="83" t="inlineStr">
        <is>
          <t>P</t>
        </is>
      </c>
      <c r="X42" s="83" t="inlineStr">
        <is>
          <t>P</t>
        </is>
      </c>
      <c r="Y42" s="165" t="n"/>
      <c r="Z42" s="81" t="n"/>
      <c r="AA42" s="81" t="n"/>
      <c r="AB42" s="81" t="n"/>
      <c r="AC42" s="8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 t="n"/>
      <c r="BJ42" s="71" t="n"/>
      <c r="BK42" s="71" t="n"/>
      <c r="BL42" s="71">
        <f>COUNTIF(F42:BK42,"P")</f>
        <v/>
      </c>
      <c r="BM42" s="71">
        <f>SUM((BL42/BL12)*100)</f>
        <v/>
      </c>
    </row>
    <row r="43" ht="21" customHeight="1" s="55">
      <c r="A43" s="73" t="n">
        <v>31</v>
      </c>
      <c r="B43" s="74" t="n">
        <v>2410118</v>
      </c>
      <c r="C43" s="75" t="n">
        <v>3122245002097</v>
      </c>
      <c r="D43" s="76" t="inlineStr">
        <is>
          <t>Sathvik Gururaghavendran</t>
        </is>
      </c>
      <c r="E43" s="76" t="inlineStr">
        <is>
          <t>sathvik2410118@ssn.edu.in</t>
        </is>
      </c>
      <c r="F43" s="167" t="inlineStr">
        <is>
          <t>P</t>
        </is>
      </c>
      <c r="G43" s="82" t="inlineStr">
        <is>
          <t>A</t>
        </is>
      </c>
      <c r="H43" s="82" t="inlineStr">
        <is>
          <t>A</t>
        </is>
      </c>
      <c r="I43" s="82" t="inlineStr">
        <is>
          <t>A</t>
        </is>
      </c>
      <c r="J43" s="82" t="inlineStr">
        <is>
          <t>A</t>
        </is>
      </c>
      <c r="K43" s="82" t="inlineStr">
        <is>
          <t>P</t>
        </is>
      </c>
      <c r="L43" s="82" t="inlineStr">
        <is>
          <t>A</t>
        </is>
      </c>
      <c r="M43" s="82" t="inlineStr">
        <is>
          <t>A</t>
        </is>
      </c>
      <c r="N43" s="83" t="inlineStr">
        <is>
          <t>P</t>
        </is>
      </c>
      <c r="O43" s="83" t="inlineStr">
        <is>
          <t>P</t>
        </is>
      </c>
      <c r="P43" s="83" t="inlineStr">
        <is>
          <t>A</t>
        </is>
      </c>
      <c r="Q43" s="83" t="inlineStr">
        <is>
          <t>A</t>
        </is>
      </c>
      <c r="R43" s="83" t="inlineStr">
        <is>
          <t>A</t>
        </is>
      </c>
      <c r="S43" s="83" t="inlineStr">
        <is>
          <t>P</t>
        </is>
      </c>
      <c r="T43" s="83" t="inlineStr">
        <is>
          <t>A</t>
        </is>
      </c>
      <c r="U43" s="83" t="inlineStr">
        <is>
          <t>A</t>
        </is>
      </c>
      <c r="V43" s="83" t="inlineStr">
        <is>
          <t>A</t>
        </is>
      </c>
      <c r="W43" s="83" t="inlineStr">
        <is>
          <t>A</t>
        </is>
      </c>
      <c r="X43" s="83" t="inlineStr">
        <is>
          <t>A</t>
        </is>
      </c>
      <c r="Y43" s="165" t="n"/>
      <c r="Z43" s="81" t="n"/>
      <c r="AA43" s="81" t="n"/>
      <c r="AB43" s="81" t="n"/>
      <c r="AC43" s="8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 t="n"/>
      <c r="BJ43" s="71" t="n"/>
      <c r="BK43" s="71" t="n"/>
      <c r="BL43" s="71">
        <f>COUNTIF(F43:BK43,"P")</f>
        <v/>
      </c>
      <c r="BM43" s="71">
        <f>SUM((BL43/BL12)*100)</f>
        <v/>
      </c>
    </row>
    <row r="44" ht="21" customHeight="1" s="55">
      <c r="A44" s="73" t="n">
        <v>32</v>
      </c>
      <c r="B44" s="74" t="n">
        <v>2410486</v>
      </c>
      <c r="C44" s="75" t="n">
        <v>3122245002098</v>
      </c>
      <c r="D44" s="76" t="inlineStr">
        <is>
          <t>Shalini G</t>
        </is>
      </c>
      <c r="E44" s="76" t="inlineStr">
        <is>
          <t>shalini2410486@ssn.edu.in</t>
        </is>
      </c>
      <c r="F44" s="167" t="inlineStr">
        <is>
          <t>P</t>
        </is>
      </c>
      <c r="G44" s="82" t="inlineStr">
        <is>
          <t>A</t>
        </is>
      </c>
      <c r="H44" s="82" t="inlineStr">
        <is>
          <t>P</t>
        </is>
      </c>
      <c r="I44" s="82" t="inlineStr">
        <is>
          <t>A</t>
        </is>
      </c>
      <c r="J44" s="82" t="inlineStr">
        <is>
          <t>A</t>
        </is>
      </c>
      <c r="K44" s="82" t="inlineStr">
        <is>
          <t>A</t>
        </is>
      </c>
      <c r="L44" s="82" t="inlineStr">
        <is>
          <t>P</t>
        </is>
      </c>
      <c r="M44" s="82" t="inlineStr">
        <is>
          <t>P</t>
        </is>
      </c>
      <c r="N44" s="83" t="inlineStr">
        <is>
          <t>A</t>
        </is>
      </c>
      <c r="O44" s="83" t="inlineStr">
        <is>
          <t>A</t>
        </is>
      </c>
      <c r="P44" s="83" t="inlineStr">
        <is>
          <t>A</t>
        </is>
      </c>
      <c r="Q44" s="83" t="inlineStr">
        <is>
          <t>A</t>
        </is>
      </c>
      <c r="R44" s="83" t="inlineStr">
        <is>
          <t>A</t>
        </is>
      </c>
      <c r="S44" s="83" t="inlineStr">
        <is>
          <t>A</t>
        </is>
      </c>
      <c r="T44" s="83" t="inlineStr">
        <is>
          <t>A</t>
        </is>
      </c>
      <c r="U44" s="83" t="inlineStr">
        <is>
          <t>A</t>
        </is>
      </c>
      <c r="V44" s="83" t="inlineStr">
        <is>
          <t>A</t>
        </is>
      </c>
      <c r="W44" s="83" t="inlineStr">
        <is>
          <t>A</t>
        </is>
      </c>
      <c r="X44" s="83" t="inlineStr">
        <is>
          <t>A</t>
        </is>
      </c>
      <c r="Y44" s="165" t="n"/>
      <c r="Z44" s="81" t="n"/>
      <c r="AA44" s="81" t="n"/>
      <c r="AB44" s="81" t="n"/>
      <c r="AC44" s="8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 t="n"/>
      <c r="BJ44" s="71" t="n"/>
      <c r="BK44" s="71" t="n"/>
      <c r="BL44" s="71">
        <f>COUNTIF(F44:BK44,"P")</f>
        <v/>
      </c>
      <c r="BM44" s="71">
        <f>SUM((BL44/BL12)*100)</f>
        <v/>
      </c>
    </row>
    <row r="45" ht="21" customHeight="1" s="55">
      <c r="A45" s="73" t="n">
        <v>33</v>
      </c>
      <c r="B45" s="74" t="n">
        <v>2410569</v>
      </c>
      <c r="C45" s="75" t="n">
        <v>3122245002099</v>
      </c>
      <c r="D45" s="76" t="inlineStr">
        <is>
          <t>Sharaal Jospeen Rani S</t>
        </is>
      </c>
      <c r="E45" s="76" t="inlineStr">
        <is>
          <t>sharaaljospeenrani2410569@ssn.edu.in</t>
        </is>
      </c>
      <c r="F45" s="167" t="inlineStr">
        <is>
          <t>P</t>
        </is>
      </c>
      <c r="G45" s="82" t="inlineStr">
        <is>
          <t>P</t>
        </is>
      </c>
      <c r="H45" s="82" t="inlineStr">
        <is>
          <t>P</t>
        </is>
      </c>
      <c r="I45" s="82" t="inlineStr">
        <is>
          <t>P</t>
        </is>
      </c>
      <c r="J45" s="82" t="inlineStr">
        <is>
          <t>P</t>
        </is>
      </c>
      <c r="K45" s="82" t="inlineStr">
        <is>
          <t>P</t>
        </is>
      </c>
      <c r="L45" s="82" t="inlineStr">
        <is>
          <t>P</t>
        </is>
      </c>
      <c r="M45" s="82" t="inlineStr">
        <is>
          <t>P</t>
        </is>
      </c>
      <c r="N45" s="83" t="inlineStr">
        <is>
          <t>A</t>
        </is>
      </c>
      <c r="O45" s="83" t="inlineStr">
        <is>
          <t>P</t>
        </is>
      </c>
      <c r="P45" s="83" t="inlineStr">
        <is>
          <t>P</t>
        </is>
      </c>
      <c r="Q45" s="83" t="inlineStr">
        <is>
          <t>P</t>
        </is>
      </c>
      <c r="R45" s="83" t="inlineStr">
        <is>
          <t>P</t>
        </is>
      </c>
      <c r="S45" s="83" t="inlineStr">
        <is>
          <t>P</t>
        </is>
      </c>
      <c r="T45" s="83" t="inlineStr">
        <is>
          <t>A</t>
        </is>
      </c>
      <c r="U45" s="83" t="inlineStr">
        <is>
          <t>P</t>
        </is>
      </c>
      <c r="V45" s="83" t="inlineStr">
        <is>
          <t>P</t>
        </is>
      </c>
      <c r="W45" s="83" t="inlineStr">
        <is>
          <t>A</t>
        </is>
      </c>
      <c r="X45" s="83" t="inlineStr">
        <is>
          <t>A</t>
        </is>
      </c>
      <c r="Y45" s="165" t="n"/>
      <c r="Z45" s="81" t="n"/>
      <c r="AA45" s="81" t="n"/>
      <c r="AB45" s="81" t="n"/>
      <c r="AC45" s="8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 t="n"/>
      <c r="BJ45" s="71" t="n"/>
      <c r="BK45" s="71" t="n"/>
      <c r="BL45" s="71">
        <f>COUNTIF(F45:BK45,"P")</f>
        <v/>
      </c>
      <c r="BM45" s="71">
        <f>SUM((BL45/BL12)*100)</f>
        <v/>
      </c>
    </row>
    <row r="46" ht="21" customHeight="1" s="55">
      <c r="A46" s="73" t="n">
        <v>34</v>
      </c>
      <c r="B46" s="74" t="n">
        <v>2410047</v>
      </c>
      <c r="C46" s="75" t="n">
        <v>3122245002100</v>
      </c>
      <c r="D46" s="76" t="inlineStr">
        <is>
          <t>Shashank V</t>
        </is>
      </c>
      <c r="E46" s="76" t="inlineStr">
        <is>
          <t>shashank2410047@ssn.edu.in</t>
        </is>
      </c>
      <c r="F46" s="167" t="inlineStr">
        <is>
          <t>P</t>
        </is>
      </c>
      <c r="G46" s="82" t="inlineStr">
        <is>
          <t>P</t>
        </is>
      </c>
      <c r="H46" s="82" t="inlineStr">
        <is>
          <t>A</t>
        </is>
      </c>
      <c r="I46" s="82" t="inlineStr">
        <is>
          <t>P</t>
        </is>
      </c>
      <c r="J46" s="82" t="inlineStr">
        <is>
          <t>P</t>
        </is>
      </c>
      <c r="K46" s="82" t="inlineStr">
        <is>
          <t>P</t>
        </is>
      </c>
      <c r="L46" s="82" t="inlineStr">
        <is>
          <t>A</t>
        </is>
      </c>
      <c r="M46" s="82" t="inlineStr">
        <is>
          <t>A</t>
        </is>
      </c>
      <c r="N46" s="83" t="inlineStr">
        <is>
          <t>P</t>
        </is>
      </c>
      <c r="O46" s="83" t="inlineStr">
        <is>
          <t>A</t>
        </is>
      </c>
      <c r="P46" s="83" t="inlineStr">
        <is>
          <t>A</t>
        </is>
      </c>
      <c r="Q46" s="83" t="inlineStr">
        <is>
          <t>P</t>
        </is>
      </c>
      <c r="R46" s="83" t="inlineStr">
        <is>
          <t>A</t>
        </is>
      </c>
      <c r="S46" s="83" t="inlineStr">
        <is>
          <t>P</t>
        </is>
      </c>
      <c r="T46" s="83" t="inlineStr">
        <is>
          <t>A</t>
        </is>
      </c>
      <c r="U46" s="83" t="inlineStr">
        <is>
          <t>A</t>
        </is>
      </c>
      <c r="V46" s="83" t="inlineStr">
        <is>
          <t>A</t>
        </is>
      </c>
      <c r="W46" s="83" t="inlineStr">
        <is>
          <t>A</t>
        </is>
      </c>
      <c r="X46" s="83" t="inlineStr">
        <is>
          <t>P</t>
        </is>
      </c>
      <c r="Y46" s="165" t="n"/>
      <c r="Z46" s="81" t="n"/>
      <c r="AA46" s="81" t="n"/>
      <c r="AB46" s="81" t="n"/>
      <c r="AC46" s="8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 t="n"/>
      <c r="BJ46" s="71" t="n"/>
      <c r="BK46" s="71" t="n"/>
      <c r="BL46" s="71">
        <f>COUNTIF(F46:BK46,"P")</f>
        <v/>
      </c>
      <c r="BM46" s="71">
        <f>SUM((BL46/BL12)*100)</f>
        <v/>
      </c>
    </row>
    <row r="47" ht="21" customHeight="1" s="55">
      <c r="A47" s="73" t="n">
        <v>35</v>
      </c>
      <c r="B47" s="74" t="n">
        <v>2410184</v>
      </c>
      <c r="C47" s="75" t="n">
        <v>3122245002101</v>
      </c>
      <c r="D47" s="76" t="inlineStr">
        <is>
          <t>Shree M</t>
        </is>
      </c>
      <c r="E47" s="76" t="inlineStr">
        <is>
          <t>shree2410184@ssn.edu.in</t>
        </is>
      </c>
      <c r="F47" s="167" t="inlineStr">
        <is>
          <t>P</t>
        </is>
      </c>
      <c r="G47" s="82" t="inlineStr">
        <is>
          <t>P</t>
        </is>
      </c>
      <c r="H47" s="82" t="inlineStr">
        <is>
          <t>A</t>
        </is>
      </c>
      <c r="I47" s="82" t="inlineStr">
        <is>
          <t>P</t>
        </is>
      </c>
      <c r="J47" s="82" t="inlineStr">
        <is>
          <t>P</t>
        </is>
      </c>
      <c r="K47" s="82" t="inlineStr">
        <is>
          <t>P</t>
        </is>
      </c>
      <c r="L47" s="82" t="inlineStr">
        <is>
          <t>A</t>
        </is>
      </c>
      <c r="M47" s="82" t="inlineStr">
        <is>
          <t>A</t>
        </is>
      </c>
      <c r="N47" s="83" t="inlineStr">
        <is>
          <t>A</t>
        </is>
      </c>
      <c r="O47" s="83" t="inlineStr">
        <is>
          <t>P</t>
        </is>
      </c>
      <c r="P47" s="83" t="inlineStr">
        <is>
          <t>A</t>
        </is>
      </c>
      <c r="Q47" s="83" t="inlineStr">
        <is>
          <t>A</t>
        </is>
      </c>
      <c r="R47" s="83" t="inlineStr">
        <is>
          <t>P</t>
        </is>
      </c>
      <c r="S47" s="83" t="inlineStr">
        <is>
          <t>P</t>
        </is>
      </c>
      <c r="T47" s="83" t="inlineStr">
        <is>
          <t>A</t>
        </is>
      </c>
      <c r="U47" s="83" t="inlineStr">
        <is>
          <t>A</t>
        </is>
      </c>
      <c r="V47" s="83" t="inlineStr">
        <is>
          <t>p</t>
        </is>
      </c>
      <c r="W47" s="83" t="inlineStr">
        <is>
          <t>A</t>
        </is>
      </c>
      <c r="X47" s="83" t="inlineStr">
        <is>
          <t>P</t>
        </is>
      </c>
      <c r="Y47" s="165" t="n"/>
      <c r="Z47" s="81" t="n"/>
      <c r="AA47" s="81" t="n"/>
      <c r="AB47" s="81" t="n"/>
      <c r="AC47" s="8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 t="n"/>
      <c r="BJ47" s="71" t="n"/>
      <c r="BK47" s="71" t="n"/>
      <c r="BL47" s="71">
        <f>COUNTIF(F47:BK47,"P")</f>
        <v/>
      </c>
      <c r="BM47" s="71">
        <f>SUM((BL47/BL13)*100)</f>
        <v/>
      </c>
    </row>
    <row r="48" ht="21" customHeight="1" s="55">
      <c r="A48" s="73" t="n">
        <v>36</v>
      </c>
      <c r="B48" s="74" t="n">
        <v>2410214</v>
      </c>
      <c r="C48" s="75" t="n">
        <v>3122245002102</v>
      </c>
      <c r="D48" s="76" t="inlineStr">
        <is>
          <t>Shrika Neeharika C</t>
        </is>
      </c>
      <c r="E48" s="76" t="inlineStr">
        <is>
          <t>shrikaneeharika2410214@ssn.edu.in</t>
        </is>
      </c>
      <c r="F48" s="167" t="inlineStr">
        <is>
          <t>P</t>
        </is>
      </c>
      <c r="G48" s="82" t="inlineStr">
        <is>
          <t>P</t>
        </is>
      </c>
      <c r="H48" s="82" t="inlineStr">
        <is>
          <t>P</t>
        </is>
      </c>
      <c r="I48" s="82" t="inlineStr">
        <is>
          <t>P</t>
        </is>
      </c>
      <c r="J48" s="82" t="inlineStr">
        <is>
          <t>P</t>
        </is>
      </c>
      <c r="K48" s="82" t="inlineStr">
        <is>
          <t>P</t>
        </is>
      </c>
      <c r="L48" s="82" t="inlineStr">
        <is>
          <t>P</t>
        </is>
      </c>
      <c r="M48" s="82" t="inlineStr">
        <is>
          <t>P</t>
        </is>
      </c>
      <c r="N48" s="83" t="inlineStr">
        <is>
          <t>A</t>
        </is>
      </c>
      <c r="O48" s="83" t="inlineStr">
        <is>
          <t>P</t>
        </is>
      </c>
      <c r="P48" s="83" t="inlineStr">
        <is>
          <t>P</t>
        </is>
      </c>
      <c r="Q48" s="83" t="inlineStr">
        <is>
          <t>A</t>
        </is>
      </c>
      <c r="R48" s="83" t="inlineStr">
        <is>
          <t>P</t>
        </is>
      </c>
      <c r="S48" s="83" t="inlineStr">
        <is>
          <t>P</t>
        </is>
      </c>
      <c r="T48" s="83" t="inlineStr">
        <is>
          <t>P</t>
        </is>
      </c>
      <c r="U48" s="83" t="inlineStr">
        <is>
          <t>A</t>
        </is>
      </c>
      <c r="V48" s="83" t="inlineStr">
        <is>
          <t>P</t>
        </is>
      </c>
      <c r="W48" s="83" t="inlineStr">
        <is>
          <t>A</t>
        </is>
      </c>
      <c r="X48" s="83" t="inlineStr">
        <is>
          <t>P</t>
        </is>
      </c>
      <c r="Y48" s="165" t="n"/>
      <c r="Z48" s="81" t="n"/>
      <c r="AA48" s="81" t="n"/>
      <c r="AB48" s="81" t="n"/>
      <c r="AC48" s="8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 t="n"/>
      <c r="BJ48" s="71" t="n"/>
      <c r="BK48" s="71" t="n"/>
      <c r="BL48" s="71">
        <f>COUNTIF(F48:BK48,"P")</f>
        <v/>
      </c>
      <c r="BM48" s="71">
        <f>SUM((BL48/BL12)*100)</f>
        <v/>
      </c>
    </row>
    <row r="49" ht="21" customHeight="1" s="55">
      <c r="A49" s="73" t="n">
        <v>37</v>
      </c>
      <c r="B49" s="74" t="n">
        <v>2410072</v>
      </c>
      <c r="C49" s="75" t="n">
        <v>3122245002103</v>
      </c>
      <c r="D49" s="76" t="inlineStr">
        <is>
          <t>Shrish V V S Sri Kumar Rasamsetty</t>
        </is>
      </c>
      <c r="E49" s="76" t="inlineStr">
        <is>
          <t>shrish2410072@ssn.edu.in</t>
        </is>
      </c>
      <c r="F49" s="167" t="inlineStr">
        <is>
          <t>P</t>
        </is>
      </c>
      <c r="G49" s="82" t="inlineStr">
        <is>
          <t>A</t>
        </is>
      </c>
      <c r="H49" s="82" t="inlineStr">
        <is>
          <t>P</t>
        </is>
      </c>
      <c r="I49" s="82" t="inlineStr">
        <is>
          <t>P</t>
        </is>
      </c>
      <c r="J49" s="82" t="inlineStr">
        <is>
          <t>P</t>
        </is>
      </c>
      <c r="K49" s="82" t="inlineStr">
        <is>
          <t>P</t>
        </is>
      </c>
      <c r="L49" s="82" t="inlineStr">
        <is>
          <t>P</t>
        </is>
      </c>
      <c r="M49" s="82" t="inlineStr">
        <is>
          <t>P</t>
        </is>
      </c>
      <c r="N49" s="83" t="inlineStr">
        <is>
          <t>P</t>
        </is>
      </c>
      <c r="O49" s="83" t="inlineStr">
        <is>
          <t>P</t>
        </is>
      </c>
      <c r="P49" s="83" t="inlineStr">
        <is>
          <t>P</t>
        </is>
      </c>
      <c r="Q49" s="83" t="inlineStr">
        <is>
          <t>P</t>
        </is>
      </c>
      <c r="R49" s="83" t="inlineStr">
        <is>
          <t>P</t>
        </is>
      </c>
      <c r="S49" s="83" t="inlineStr">
        <is>
          <t>P</t>
        </is>
      </c>
      <c r="T49" s="83" t="inlineStr">
        <is>
          <t>P</t>
        </is>
      </c>
      <c r="U49" s="83" t="inlineStr">
        <is>
          <t>P</t>
        </is>
      </c>
      <c r="V49" s="83" t="inlineStr">
        <is>
          <t>P</t>
        </is>
      </c>
      <c r="W49" s="83" t="inlineStr">
        <is>
          <t>P</t>
        </is>
      </c>
      <c r="X49" s="83" t="inlineStr">
        <is>
          <t>P</t>
        </is>
      </c>
      <c r="Y49" s="165" t="n"/>
      <c r="Z49" s="81" t="n"/>
      <c r="AA49" s="81" t="n"/>
      <c r="AB49" s="81" t="n"/>
      <c r="AC49" s="8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 t="n"/>
      <c r="BJ49" s="71" t="n"/>
      <c r="BK49" s="71" t="n"/>
      <c r="BL49" s="71">
        <f>COUNTIF(F49:BK49,"P")</f>
        <v/>
      </c>
      <c r="BM49" s="71">
        <f>SUM((BL49/BL12)*100)</f>
        <v/>
      </c>
    </row>
    <row r="50" ht="21" customHeight="1" s="55">
      <c r="A50" s="73" t="n">
        <v>38</v>
      </c>
      <c r="B50" s="74" t="n">
        <v>2410533</v>
      </c>
      <c r="C50" s="75" t="n">
        <v>3122245002104</v>
      </c>
      <c r="D50" s="76" t="inlineStr">
        <is>
          <t>Shyam T J</t>
        </is>
      </c>
      <c r="E50" s="76" t="inlineStr">
        <is>
          <t>shyam2410533@ssn.edu.in</t>
        </is>
      </c>
      <c r="F50" s="167" t="inlineStr">
        <is>
          <t>P</t>
        </is>
      </c>
      <c r="G50" s="82" t="inlineStr">
        <is>
          <t>P</t>
        </is>
      </c>
      <c r="H50" s="82" t="inlineStr">
        <is>
          <t>P</t>
        </is>
      </c>
      <c r="I50" s="82" t="inlineStr">
        <is>
          <t>P</t>
        </is>
      </c>
      <c r="J50" s="82" t="inlineStr">
        <is>
          <t>P</t>
        </is>
      </c>
      <c r="K50" s="82" t="inlineStr">
        <is>
          <t>P</t>
        </is>
      </c>
      <c r="L50" s="82" t="inlineStr">
        <is>
          <t>P</t>
        </is>
      </c>
      <c r="M50" s="82" t="inlineStr">
        <is>
          <t>P</t>
        </is>
      </c>
      <c r="N50" s="83" t="inlineStr">
        <is>
          <t>A</t>
        </is>
      </c>
      <c r="O50" s="83" t="inlineStr">
        <is>
          <t>P</t>
        </is>
      </c>
      <c r="P50" s="83" t="inlineStr">
        <is>
          <t>P</t>
        </is>
      </c>
      <c r="Q50" s="83" t="inlineStr">
        <is>
          <t>P</t>
        </is>
      </c>
      <c r="R50" s="83" t="inlineStr">
        <is>
          <t>P</t>
        </is>
      </c>
      <c r="S50" s="83" t="inlineStr">
        <is>
          <t>P</t>
        </is>
      </c>
      <c r="T50" s="83" t="inlineStr">
        <is>
          <t>P</t>
        </is>
      </c>
      <c r="U50" s="83" t="inlineStr">
        <is>
          <t>P</t>
        </is>
      </c>
      <c r="V50" s="83" t="inlineStr">
        <is>
          <t>P</t>
        </is>
      </c>
      <c r="W50" s="83" t="inlineStr">
        <is>
          <t>P</t>
        </is>
      </c>
      <c r="X50" s="83" t="inlineStr">
        <is>
          <t>P</t>
        </is>
      </c>
      <c r="Y50" s="165" t="n"/>
      <c r="Z50" s="81" t="n"/>
      <c r="AA50" s="81" t="n"/>
      <c r="AB50" s="81" t="n"/>
      <c r="AC50" s="8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 t="n"/>
      <c r="BJ50" s="71" t="n"/>
      <c r="BK50" s="71" t="n"/>
      <c r="BL50" s="71">
        <f>COUNTIF(F50:BK50,"P")</f>
        <v/>
      </c>
      <c r="BM50" s="71">
        <f>SUM((BL50/BL12)*100)</f>
        <v/>
      </c>
    </row>
    <row r="51" ht="21" customHeight="1" s="55">
      <c r="A51" s="73" t="n">
        <v>39</v>
      </c>
      <c r="B51" s="74" t="n">
        <v>2410457</v>
      </c>
      <c r="C51" s="75" t="n">
        <v>3122245002105</v>
      </c>
      <c r="D51" s="76" t="inlineStr">
        <is>
          <t>Siva Hari Raj S T</t>
        </is>
      </c>
      <c r="E51" s="76" t="inlineStr">
        <is>
          <t>sivahariraj2410457@ssn.edu.in</t>
        </is>
      </c>
      <c r="F51" s="167" t="inlineStr">
        <is>
          <t>P</t>
        </is>
      </c>
      <c r="G51" s="82" t="inlineStr">
        <is>
          <t>P</t>
        </is>
      </c>
      <c r="H51" s="82" t="inlineStr">
        <is>
          <t>P</t>
        </is>
      </c>
      <c r="I51" s="82" t="inlineStr">
        <is>
          <t>P</t>
        </is>
      </c>
      <c r="J51" s="82" t="inlineStr">
        <is>
          <t>P</t>
        </is>
      </c>
      <c r="K51" s="82" t="inlineStr">
        <is>
          <t>P</t>
        </is>
      </c>
      <c r="L51" s="82" t="inlineStr">
        <is>
          <t>A</t>
        </is>
      </c>
      <c r="M51" s="82" t="inlineStr">
        <is>
          <t>A</t>
        </is>
      </c>
      <c r="N51" s="83" t="inlineStr">
        <is>
          <t>A</t>
        </is>
      </c>
      <c r="O51" s="83" t="inlineStr">
        <is>
          <t>P</t>
        </is>
      </c>
      <c r="P51" s="83" t="inlineStr">
        <is>
          <t>P</t>
        </is>
      </c>
      <c r="Q51" s="83" t="inlineStr">
        <is>
          <t>P</t>
        </is>
      </c>
      <c r="R51" s="83" t="inlineStr">
        <is>
          <t>P</t>
        </is>
      </c>
      <c r="S51" s="83" t="inlineStr">
        <is>
          <t>A</t>
        </is>
      </c>
      <c r="T51" s="83" t="inlineStr">
        <is>
          <t>A</t>
        </is>
      </c>
      <c r="U51" s="83" t="inlineStr">
        <is>
          <t>P</t>
        </is>
      </c>
      <c r="V51" s="83" t="inlineStr">
        <is>
          <t>P</t>
        </is>
      </c>
      <c r="W51" s="83" t="inlineStr">
        <is>
          <t>A</t>
        </is>
      </c>
      <c r="X51" s="83" t="inlineStr">
        <is>
          <t>A</t>
        </is>
      </c>
      <c r="Y51" s="165" t="n"/>
      <c r="Z51" s="81" t="n"/>
      <c r="AA51" s="81" t="n"/>
      <c r="AB51" s="81" t="n"/>
      <c r="AC51" s="8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 t="n"/>
      <c r="BJ51" s="71" t="n"/>
      <c r="BK51" s="71" t="n"/>
      <c r="BL51" s="71">
        <f>COUNTIF(F51:BK51,"P")</f>
        <v/>
      </c>
      <c r="BM51" s="71">
        <f>SUM((BL51/BL12)*100)</f>
        <v/>
      </c>
    </row>
    <row r="52" ht="21" customHeight="1" s="55">
      <c r="A52" s="73" t="n">
        <v>40</v>
      </c>
      <c r="B52" s="74" t="n">
        <v>2410759</v>
      </c>
      <c r="C52" s="75" t="n">
        <v>3122245002106</v>
      </c>
      <c r="D52" s="76" t="inlineStr">
        <is>
          <t>Sivaprasanth K</t>
        </is>
      </c>
      <c r="E52" s="76" t="inlineStr">
        <is>
          <t>sivaprasanth2410759@ssn.edu.in</t>
        </is>
      </c>
      <c r="F52" s="167" t="inlineStr">
        <is>
          <t>P</t>
        </is>
      </c>
      <c r="G52" s="82" t="inlineStr">
        <is>
          <t>P</t>
        </is>
      </c>
      <c r="H52" s="82" t="inlineStr">
        <is>
          <t>P</t>
        </is>
      </c>
      <c r="I52" s="82" t="inlineStr">
        <is>
          <t>A</t>
        </is>
      </c>
      <c r="J52" s="82" t="inlineStr">
        <is>
          <t>A</t>
        </is>
      </c>
      <c r="K52" s="82" t="inlineStr">
        <is>
          <t>A</t>
        </is>
      </c>
      <c r="L52" s="82" t="inlineStr">
        <is>
          <t>P</t>
        </is>
      </c>
      <c r="M52" s="82" t="inlineStr">
        <is>
          <t>P</t>
        </is>
      </c>
      <c r="N52" s="83" t="inlineStr">
        <is>
          <t>A</t>
        </is>
      </c>
      <c r="O52" s="83" t="inlineStr">
        <is>
          <t>P</t>
        </is>
      </c>
      <c r="P52" s="83" t="inlineStr">
        <is>
          <t>P</t>
        </is>
      </c>
      <c r="Q52" s="83" t="inlineStr">
        <is>
          <t>P</t>
        </is>
      </c>
      <c r="R52" s="83" t="inlineStr">
        <is>
          <t>A</t>
        </is>
      </c>
      <c r="S52" s="83" t="inlineStr">
        <is>
          <t>A</t>
        </is>
      </c>
      <c r="T52" s="83" t="inlineStr">
        <is>
          <t>P</t>
        </is>
      </c>
      <c r="U52" s="83" t="inlineStr">
        <is>
          <t>P</t>
        </is>
      </c>
      <c r="V52" s="83" t="inlineStr">
        <is>
          <t>P</t>
        </is>
      </c>
      <c r="W52" s="83" t="inlineStr">
        <is>
          <t>P</t>
        </is>
      </c>
      <c r="X52" s="83" t="inlineStr">
        <is>
          <t>A</t>
        </is>
      </c>
      <c r="Y52" s="165" t="n"/>
      <c r="Z52" s="81" t="n"/>
      <c r="AA52" s="81" t="n"/>
      <c r="AB52" s="81" t="n"/>
      <c r="AC52" s="8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 t="n"/>
      <c r="BJ52" s="71" t="n"/>
      <c r="BK52" s="71" t="n"/>
      <c r="BL52" s="71">
        <f>COUNTIF(F52:BK52,"P")</f>
        <v/>
      </c>
      <c r="BM52" s="71">
        <f>SUM((BL52/BL12)*100)</f>
        <v/>
      </c>
    </row>
    <row r="53" ht="21" customHeight="1" s="55">
      <c r="A53" s="73" t="n">
        <v>41</v>
      </c>
      <c r="B53" s="74" t="n">
        <v>2410530</v>
      </c>
      <c r="C53" s="75" t="n">
        <v>3122245002107</v>
      </c>
      <c r="D53" s="76" t="inlineStr">
        <is>
          <t>Sreenath G</t>
        </is>
      </c>
      <c r="E53" s="76" t="inlineStr">
        <is>
          <t>sreenath2410530@ssn.edu.in</t>
        </is>
      </c>
      <c r="F53" s="167" t="inlineStr">
        <is>
          <t>P</t>
        </is>
      </c>
      <c r="G53" s="82" t="inlineStr">
        <is>
          <t>P</t>
        </is>
      </c>
      <c r="H53" s="82" t="inlineStr">
        <is>
          <t>P</t>
        </is>
      </c>
      <c r="I53" s="82" t="inlineStr">
        <is>
          <t>P</t>
        </is>
      </c>
      <c r="J53" s="82" t="inlineStr">
        <is>
          <t>P</t>
        </is>
      </c>
      <c r="K53" s="82" t="inlineStr">
        <is>
          <t>P</t>
        </is>
      </c>
      <c r="L53" s="82" t="inlineStr">
        <is>
          <t>P</t>
        </is>
      </c>
      <c r="M53" s="82" t="inlineStr">
        <is>
          <t>P</t>
        </is>
      </c>
      <c r="N53" s="83" t="inlineStr">
        <is>
          <t>A</t>
        </is>
      </c>
      <c r="O53" s="83" t="inlineStr">
        <is>
          <t>P</t>
        </is>
      </c>
      <c r="P53" s="83" t="inlineStr">
        <is>
          <t>P</t>
        </is>
      </c>
      <c r="Q53" s="83" t="inlineStr">
        <is>
          <t>P</t>
        </is>
      </c>
      <c r="R53" s="83" t="inlineStr">
        <is>
          <t>P</t>
        </is>
      </c>
      <c r="S53" s="83" t="inlineStr">
        <is>
          <t>P</t>
        </is>
      </c>
      <c r="T53" s="83" t="inlineStr">
        <is>
          <t>P</t>
        </is>
      </c>
      <c r="U53" s="83" t="inlineStr">
        <is>
          <t>P</t>
        </is>
      </c>
      <c r="V53" s="83" t="inlineStr">
        <is>
          <t>P</t>
        </is>
      </c>
      <c r="W53" s="83" t="inlineStr">
        <is>
          <t>A</t>
        </is>
      </c>
      <c r="X53" s="83" t="inlineStr">
        <is>
          <t>P</t>
        </is>
      </c>
      <c r="Y53" s="165" t="n"/>
      <c r="Z53" s="81" t="n"/>
      <c r="AA53" s="81" t="n"/>
      <c r="AB53" s="81" t="n"/>
      <c r="AC53" s="8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 t="n"/>
      <c r="BJ53" s="71" t="n"/>
      <c r="BK53" s="71" t="n"/>
      <c r="BL53" s="71">
        <f>COUNTIF(F53:BK53,"P")</f>
        <v/>
      </c>
      <c r="BM53" s="71">
        <f>SUM((BL53/BL12)*100)</f>
        <v/>
      </c>
    </row>
    <row r="54" ht="21" customHeight="1" s="55">
      <c r="A54" s="73" t="n">
        <v>42</v>
      </c>
      <c r="B54" s="74" t="n">
        <v>2410089</v>
      </c>
      <c r="C54" s="75" t="n">
        <v>3122245002108</v>
      </c>
      <c r="D54" s="76" t="inlineStr">
        <is>
          <t>Sri Subhiksha T</t>
        </is>
      </c>
      <c r="E54" s="76" t="inlineStr">
        <is>
          <t>sri2410089@ssn.edu.in</t>
        </is>
      </c>
      <c r="F54" s="167" t="inlineStr">
        <is>
          <t>P</t>
        </is>
      </c>
      <c r="G54" s="82" t="inlineStr">
        <is>
          <t>P</t>
        </is>
      </c>
      <c r="H54" s="82" t="inlineStr">
        <is>
          <t>P</t>
        </is>
      </c>
      <c r="I54" s="82" t="inlineStr">
        <is>
          <t>P</t>
        </is>
      </c>
      <c r="J54" s="82" t="inlineStr">
        <is>
          <t>P</t>
        </is>
      </c>
      <c r="K54" s="82" t="inlineStr">
        <is>
          <t>P</t>
        </is>
      </c>
      <c r="L54" s="82" t="inlineStr">
        <is>
          <t>P</t>
        </is>
      </c>
      <c r="M54" s="82" t="inlineStr">
        <is>
          <t>P</t>
        </is>
      </c>
      <c r="N54" s="83" t="inlineStr">
        <is>
          <t>A</t>
        </is>
      </c>
      <c r="O54" s="83" t="inlineStr">
        <is>
          <t>P</t>
        </is>
      </c>
      <c r="P54" s="83" t="inlineStr">
        <is>
          <t>P</t>
        </is>
      </c>
      <c r="Q54" s="83" t="inlineStr">
        <is>
          <t>P</t>
        </is>
      </c>
      <c r="R54" s="83" t="inlineStr">
        <is>
          <t>P</t>
        </is>
      </c>
      <c r="S54" s="83" t="inlineStr">
        <is>
          <t>P</t>
        </is>
      </c>
      <c r="T54" s="83" t="inlineStr">
        <is>
          <t>A</t>
        </is>
      </c>
      <c r="U54" s="83" t="inlineStr">
        <is>
          <t>P</t>
        </is>
      </c>
      <c r="V54" s="83" t="inlineStr">
        <is>
          <t>A</t>
        </is>
      </c>
      <c r="W54" s="83" t="inlineStr">
        <is>
          <t>P</t>
        </is>
      </c>
      <c r="X54" s="83" t="inlineStr">
        <is>
          <t>P</t>
        </is>
      </c>
      <c r="Y54" s="165" t="n"/>
      <c r="Z54" s="81" t="n"/>
      <c r="AA54" s="81" t="n"/>
      <c r="AB54" s="81" t="n"/>
      <c r="AC54" s="8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 t="n"/>
      <c r="BJ54" s="71" t="n"/>
      <c r="BK54" s="71" t="n"/>
      <c r="BL54" s="71">
        <f>COUNTIF(F54:BK54,"P")</f>
        <v/>
      </c>
      <c r="BM54" s="71">
        <f>SUM((BL54/BL12)*100)</f>
        <v/>
      </c>
    </row>
    <row r="55" ht="21" customHeight="1" s="55">
      <c r="A55" s="73" t="n">
        <v>43</v>
      </c>
      <c r="B55" s="74" t="n">
        <v>2410307</v>
      </c>
      <c r="C55" s="75" t="n">
        <v>3122245002109</v>
      </c>
      <c r="D55" s="76" t="inlineStr">
        <is>
          <t>Srimathi B</t>
        </is>
      </c>
      <c r="E55" s="76" t="inlineStr">
        <is>
          <t>srimathi2410307@ssn.edu.in</t>
        </is>
      </c>
      <c r="F55" s="167" t="inlineStr">
        <is>
          <t>P</t>
        </is>
      </c>
      <c r="G55" s="82" t="inlineStr">
        <is>
          <t>P</t>
        </is>
      </c>
      <c r="H55" s="82" t="inlineStr">
        <is>
          <t>P</t>
        </is>
      </c>
      <c r="I55" s="82" t="inlineStr">
        <is>
          <t>P</t>
        </is>
      </c>
      <c r="J55" s="82" t="inlineStr">
        <is>
          <t>P</t>
        </is>
      </c>
      <c r="K55" s="82" t="inlineStr">
        <is>
          <t>P</t>
        </is>
      </c>
      <c r="L55" s="82" t="inlineStr">
        <is>
          <t>P</t>
        </is>
      </c>
      <c r="M55" s="82" t="inlineStr">
        <is>
          <t>P</t>
        </is>
      </c>
      <c r="N55" s="83" t="inlineStr">
        <is>
          <t>A</t>
        </is>
      </c>
      <c r="O55" s="83" t="inlineStr">
        <is>
          <t>P</t>
        </is>
      </c>
      <c r="P55" s="83" t="inlineStr">
        <is>
          <t>A</t>
        </is>
      </c>
      <c r="Q55" s="83" t="inlineStr">
        <is>
          <t>P</t>
        </is>
      </c>
      <c r="R55" s="83" t="inlineStr">
        <is>
          <t>P</t>
        </is>
      </c>
      <c r="S55" s="83" t="inlineStr">
        <is>
          <t>P</t>
        </is>
      </c>
      <c r="T55" s="83" t="inlineStr">
        <is>
          <t>A</t>
        </is>
      </c>
      <c r="U55" s="83" t="inlineStr">
        <is>
          <t>P</t>
        </is>
      </c>
      <c r="V55" s="83" t="inlineStr">
        <is>
          <t>P</t>
        </is>
      </c>
      <c r="W55" s="83" t="inlineStr">
        <is>
          <t>A</t>
        </is>
      </c>
      <c r="X55" s="83" t="inlineStr">
        <is>
          <t>P</t>
        </is>
      </c>
      <c r="Y55" s="165" t="n"/>
      <c r="Z55" s="81" t="n"/>
      <c r="AA55" s="81" t="n"/>
      <c r="AB55" s="81" t="n"/>
      <c r="AC55" s="8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 t="n"/>
      <c r="BJ55" s="71" t="n"/>
      <c r="BK55" s="71" t="n"/>
      <c r="BL55" s="71">
        <f>COUNTIF(F55:BK55,"P")</f>
        <v/>
      </c>
      <c r="BM55" s="71">
        <f>SUM((BL55/BL12)*100)</f>
        <v/>
      </c>
    </row>
    <row r="56" ht="21" customHeight="1" s="55">
      <c r="A56" s="73" t="n">
        <v>44</v>
      </c>
      <c r="B56" s="74" t="n">
        <v>2410315</v>
      </c>
      <c r="C56" s="75" t="n">
        <v>3122245002110</v>
      </c>
      <c r="D56" s="76" t="inlineStr">
        <is>
          <t>Sriram R</t>
        </is>
      </c>
      <c r="E56" s="76" t="inlineStr">
        <is>
          <t>sriram2410315@ssn.edu.in</t>
        </is>
      </c>
      <c r="F56" s="167" t="inlineStr">
        <is>
          <t>P</t>
        </is>
      </c>
      <c r="G56" s="82" t="inlineStr">
        <is>
          <t>P</t>
        </is>
      </c>
      <c r="H56" s="82" t="inlineStr">
        <is>
          <t>A</t>
        </is>
      </c>
      <c r="I56" s="82" t="inlineStr">
        <is>
          <t>P</t>
        </is>
      </c>
      <c r="J56" s="82" t="inlineStr">
        <is>
          <t>P</t>
        </is>
      </c>
      <c r="K56" s="82" t="inlineStr">
        <is>
          <t>P</t>
        </is>
      </c>
      <c r="L56" s="82" t="inlineStr">
        <is>
          <t>P</t>
        </is>
      </c>
      <c r="M56" s="82" t="inlineStr">
        <is>
          <t>P</t>
        </is>
      </c>
      <c r="N56" s="83" t="inlineStr">
        <is>
          <t>A</t>
        </is>
      </c>
      <c r="O56" s="83" t="inlineStr">
        <is>
          <t>P</t>
        </is>
      </c>
      <c r="P56" s="83" t="inlineStr">
        <is>
          <t>A</t>
        </is>
      </c>
      <c r="Q56" s="83" t="inlineStr">
        <is>
          <t>P</t>
        </is>
      </c>
      <c r="R56" s="83" t="inlineStr">
        <is>
          <t>A</t>
        </is>
      </c>
      <c r="S56" s="83" t="inlineStr">
        <is>
          <t>P</t>
        </is>
      </c>
      <c r="T56" s="83" t="inlineStr">
        <is>
          <t>P</t>
        </is>
      </c>
      <c r="U56" s="83" t="inlineStr">
        <is>
          <t>P</t>
        </is>
      </c>
      <c r="V56" s="83" t="inlineStr">
        <is>
          <t>P</t>
        </is>
      </c>
      <c r="W56" s="83" t="inlineStr">
        <is>
          <t>A</t>
        </is>
      </c>
      <c r="X56" s="83" t="inlineStr">
        <is>
          <t>A</t>
        </is>
      </c>
      <c r="Y56" s="165" t="n"/>
      <c r="Z56" s="81" t="n"/>
      <c r="AA56" s="81" t="n"/>
      <c r="AB56" s="81" t="n"/>
      <c r="AC56" s="8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 t="n"/>
      <c r="BJ56" s="71" t="n"/>
      <c r="BK56" s="71" t="n"/>
      <c r="BL56" s="71">
        <f>COUNTIF(F56:BK56,"P")</f>
        <v/>
      </c>
      <c r="BM56" s="71">
        <f>SUM((BL56/BL12)*100)</f>
        <v/>
      </c>
    </row>
    <row r="57" ht="21" customHeight="1" s="55">
      <c r="A57" s="73" t="n">
        <v>45</v>
      </c>
      <c r="B57" s="74" t="n">
        <v>2410777</v>
      </c>
      <c r="C57" s="75" t="n">
        <v>3122245002111</v>
      </c>
      <c r="D57" s="76" t="inlineStr">
        <is>
          <t>Srivarshan S</t>
        </is>
      </c>
      <c r="E57" s="76" t="inlineStr">
        <is>
          <t>srivarshan2410777@ssn.edu.in</t>
        </is>
      </c>
      <c r="F57" s="167" t="inlineStr">
        <is>
          <t>P</t>
        </is>
      </c>
      <c r="G57" s="82" t="inlineStr">
        <is>
          <t>P</t>
        </is>
      </c>
      <c r="H57" s="82" t="inlineStr">
        <is>
          <t>P</t>
        </is>
      </c>
      <c r="I57" s="82" t="inlineStr">
        <is>
          <t>P</t>
        </is>
      </c>
      <c r="J57" s="82" t="inlineStr">
        <is>
          <t>P</t>
        </is>
      </c>
      <c r="K57" s="82" t="inlineStr">
        <is>
          <t>P</t>
        </is>
      </c>
      <c r="L57" s="82" t="inlineStr">
        <is>
          <t>A</t>
        </is>
      </c>
      <c r="M57" s="82" t="inlineStr">
        <is>
          <t>A</t>
        </is>
      </c>
      <c r="N57" s="83" t="inlineStr">
        <is>
          <t>A</t>
        </is>
      </c>
      <c r="O57" s="83" t="inlineStr">
        <is>
          <t>P</t>
        </is>
      </c>
      <c r="P57" s="83" t="inlineStr">
        <is>
          <t>P</t>
        </is>
      </c>
      <c r="Q57" s="83" t="inlineStr">
        <is>
          <t>A</t>
        </is>
      </c>
      <c r="R57" s="83" t="inlineStr">
        <is>
          <t>P</t>
        </is>
      </c>
      <c r="S57" s="83" t="inlineStr">
        <is>
          <t>A</t>
        </is>
      </c>
      <c r="T57" s="83" t="inlineStr">
        <is>
          <t>A</t>
        </is>
      </c>
      <c r="U57" s="83" t="inlineStr">
        <is>
          <t>P</t>
        </is>
      </c>
      <c r="V57" s="83" t="inlineStr">
        <is>
          <t>P</t>
        </is>
      </c>
      <c r="W57" s="83" t="inlineStr">
        <is>
          <t>A</t>
        </is>
      </c>
      <c r="X57" s="83" t="inlineStr">
        <is>
          <t>P</t>
        </is>
      </c>
      <c r="Y57" s="165" t="n"/>
      <c r="Z57" s="81" t="n"/>
      <c r="AA57" s="81" t="n"/>
      <c r="AB57" s="81" t="n"/>
      <c r="AC57" s="8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1" t="n"/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 t="n"/>
      <c r="BJ57" s="71" t="n"/>
      <c r="BK57" s="71" t="n"/>
      <c r="BL57" s="71">
        <f>COUNTIF(F57:BK57,"P")</f>
        <v/>
      </c>
      <c r="BM57" s="71">
        <f>SUM((BL57/BL12)*100)</f>
        <v/>
      </c>
    </row>
    <row r="58" ht="21" customHeight="1" s="55">
      <c r="A58" s="73" t="n">
        <v>46</v>
      </c>
      <c r="B58" s="74" t="n">
        <v>2410345</v>
      </c>
      <c r="C58" s="75" t="n">
        <v>3122245002112</v>
      </c>
      <c r="D58" s="76" t="inlineStr">
        <is>
          <t>Srivathsan G</t>
        </is>
      </c>
      <c r="E58" s="76" t="inlineStr">
        <is>
          <t>srivathsan2410345@ssn.edu.in</t>
        </is>
      </c>
      <c r="F58" s="167" t="inlineStr">
        <is>
          <t>P</t>
        </is>
      </c>
      <c r="G58" s="82" t="inlineStr">
        <is>
          <t>P</t>
        </is>
      </c>
      <c r="H58" s="82" t="inlineStr">
        <is>
          <t>P</t>
        </is>
      </c>
      <c r="I58" s="82" t="inlineStr">
        <is>
          <t>A</t>
        </is>
      </c>
      <c r="J58" s="82" t="inlineStr">
        <is>
          <t>A</t>
        </is>
      </c>
      <c r="K58" s="82" t="inlineStr">
        <is>
          <t>P</t>
        </is>
      </c>
      <c r="L58" s="82" t="inlineStr">
        <is>
          <t>P</t>
        </is>
      </c>
      <c r="M58" s="82" t="inlineStr">
        <is>
          <t>P</t>
        </is>
      </c>
      <c r="N58" s="83" t="inlineStr">
        <is>
          <t>P</t>
        </is>
      </c>
      <c r="O58" s="83" t="inlineStr">
        <is>
          <t>P</t>
        </is>
      </c>
      <c r="P58" s="83" t="inlineStr">
        <is>
          <t>A</t>
        </is>
      </c>
      <c r="Q58" s="83" t="inlineStr">
        <is>
          <t>P</t>
        </is>
      </c>
      <c r="R58" s="83" t="inlineStr">
        <is>
          <t>P</t>
        </is>
      </c>
      <c r="S58" s="83" t="inlineStr">
        <is>
          <t>A</t>
        </is>
      </c>
      <c r="T58" s="83" t="inlineStr">
        <is>
          <t>P</t>
        </is>
      </c>
      <c r="U58" s="83" t="inlineStr">
        <is>
          <t>P</t>
        </is>
      </c>
      <c r="V58" s="83" t="inlineStr">
        <is>
          <t>P</t>
        </is>
      </c>
      <c r="W58" s="83" t="inlineStr">
        <is>
          <t>A</t>
        </is>
      </c>
      <c r="X58" s="83" t="inlineStr">
        <is>
          <t>P</t>
        </is>
      </c>
      <c r="Y58" s="165" t="n"/>
      <c r="Z58" s="81" t="n"/>
      <c r="AA58" s="81" t="n"/>
      <c r="AB58" s="81" t="n"/>
      <c r="AC58" s="8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1" t="n"/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 t="n"/>
      <c r="BJ58" s="71" t="n"/>
      <c r="BK58" s="71" t="n"/>
      <c r="BL58" s="71">
        <f>COUNTIF(F58:BK58,"P")</f>
        <v/>
      </c>
      <c r="BM58" s="71">
        <f>SUM((BL58/BL12)*100)</f>
        <v/>
      </c>
    </row>
    <row r="59" ht="21" customHeight="1" s="55">
      <c r="A59" s="73" t="n">
        <v>47</v>
      </c>
      <c r="B59" s="74" t="n">
        <v>2410867</v>
      </c>
      <c r="C59" s="75" t="n">
        <v>3122245002113</v>
      </c>
      <c r="D59" s="76" t="inlineStr">
        <is>
          <t>Sudharsan S</t>
        </is>
      </c>
      <c r="E59" s="76" t="inlineStr">
        <is>
          <t>sudharsan2410867@ssn.edu.in</t>
        </is>
      </c>
      <c r="F59" s="167" t="inlineStr">
        <is>
          <t>P</t>
        </is>
      </c>
      <c r="G59" s="82" t="inlineStr">
        <is>
          <t>P</t>
        </is>
      </c>
      <c r="H59" s="82" t="inlineStr">
        <is>
          <t>P</t>
        </is>
      </c>
      <c r="I59" s="82" t="inlineStr">
        <is>
          <t>P</t>
        </is>
      </c>
      <c r="J59" s="82" t="inlineStr">
        <is>
          <t>P</t>
        </is>
      </c>
      <c r="K59" s="82" t="inlineStr">
        <is>
          <t>P</t>
        </is>
      </c>
      <c r="L59" s="82" t="inlineStr">
        <is>
          <t>P</t>
        </is>
      </c>
      <c r="M59" s="82" t="inlineStr">
        <is>
          <t>P</t>
        </is>
      </c>
      <c r="N59" s="83" t="inlineStr">
        <is>
          <t>A</t>
        </is>
      </c>
      <c r="O59" s="83" t="inlineStr">
        <is>
          <t>A</t>
        </is>
      </c>
      <c r="P59" s="83" t="inlineStr">
        <is>
          <t>A</t>
        </is>
      </c>
      <c r="Q59" s="83" t="inlineStr">
        <is>
          <t>A</t>
        </is>
      </c>
      <c r="R59" s="83" t="inlineStr">
        <is>
          <t>A</t>
        </is>
      </c>
      <c r="S59" s="83" t="inlineStr">
        <is>
          <t>A</t>
        </is>
      </c>
      <c r="T59" s="83" t="inlineStr">
        <is>
          <t>P</t>
        </is>
      </c>
      <c r="U59" s="83" t="inlineStr">
        <is>
          <t>P</t>
        </is>
      </c>
      <c r="V59" s="83" t="inlineStr">
        <is>
          <t>P</t>
        </is>
      </c>
      <c r="W59" s="83" t="inlineStr">
        <is>
          <t>P</t>
        </is>
      </c>
      <c r="X59" s="83" t="inlineStr">
        <is>
          <t>A</t>
        </is>
      </c>
      <c r="Y59" s="165" t="n"/>
      <c r="Z59" s="81" t="n"/>
      <c r="AA59" s="81" t="n"/>
      <c r="AB59" s="81" t="n"/>
      <c r="AC59" s="8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1" t="n"/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 t="n"/>
      <c r="BJ59" s="71" t="n"/>
      <c r="BK59" s="71" t="n"/>
      <c r="BL59" s="71">
        <f>COUNTIF(F59:BK59,"P")</f>
        <v/>
      </c>
      <c r="BM59" s="71">
        <f>SUM((BL59/BL12)*100)</f>
        <v/>
      </c>
    </row>
    <row r="60" ht="21" customHeight="1" s="55">
      <c r="A60" s="73" t="n">
        <v>48</v>
      </c>
      <c r="B60" s="74" t="n">
        <v>2410309</v>
      </c>
      <c r="C60" s="75" t="n">
        <v>3122245002114</v>
      </c>
      <c r="D60" s="76" t="inlineStr">
        <is>
          <t>Sunitha Adluru</t>
        </is>
      </c>
      <c r="E60" s="76" t="inlineStr">
        <is>
          <t>sunitha2410309@ssn.edu.in</t>
        </is>
      </c>
      <c r="F60" s="167" t="inlineStr">
        <is>
          <t>P</t>
        </is>
      </c>
      <c r="G60" s="82" t="inlineStr">
        <is>
          <t>P</t>
        </is>
      </c>
      <c r="H60" s="82" t="inlineStr">
        <is>
          <t>P</t>
        </is>
      </c>
      <c r="I60" s="82" t="inlineStr">
        <is>
          <t>P</t>
        </is>
      </c>
      <c r="J60" s="82" t="inlineStr">
        <is>
          <t>P</t>
        </is>
      </c>
      <c r="K60" s="82" t="inlineStr">
        <is>
          <t>A</t>
        </is>
      </c>
      <c r="L60" s="82" t="inlineStr">
        <is>
          <t>P</t>
        </is>
      </c>
      <c r="M60" s="82" t="inlineStr">
        <is>
          <t>P</t>
        </is>
      </c>
      <c r="N60" s="83" t="inlineStr">
        <is>
          <t>A</t>
        </is>
      </c>
      <c r="O60" s="83" t="inlineStr">
        <is>
          <t>P</t>
        </is>
      </c>
      <c r="P60" s="83" t="inlineStr">
        <is>
          <t>P</t>
        </is>
      </c>
      <c r="Q60" s="83" t="inlineStr">
        <is>
          <t>A</t>
        </is>
      </c>
      <c r="R60" s="83" t="inlineStr">
        <is>
          <t>P</t>
        </is>
      </c>
      <c r="S60" s="83" t="inlineStr">
        <is>
          <t>P</t>
        </is>
      </c>
      <c r="T60" s="83" t="inlineStr">
        <is>
          <t>A</t>
        </is>
      </c>
      <c r="U60" s="83" t="inlineStr">
        <is>
          <t>P</t>
        </is>
      </c>
      <c r="V60" s="83" t="inlineStr">
        <is>
          <t>A</t>
        </is>
      </c>
      <c r="W60" s="83" t="inlineStr">
        <is>
          <t>A</t>
        </is>
      </c>
      <c r="X60" s="83" t="inlineStr">
        <is>
          <t>P</t>
        </is>
      </c>
      <c r="Y60" s="165" t="n"/>
      <c r="Z60" s="81" t="n"/>
      <c r="AA60" s="81" t="n"/>
      <c r="AB60" s="81" t="n"/>
      <c r="AC60" s="8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 t="n"/>
      <c r="BJ60" s="71" t="n"/>
      <c r="BK60" s="71" t="n"/>
      <c r="BL60" s="71">
        <f>COUNTIF(F60:BK60,"P")</f>
        <v/>
      </c>
      <c r="BM60" s="71">
        <f>SUM((BL60/BL12)*100)</f>
        <v/>
      </c>
    </row>
    <row r="61" ht="21" customHeight="1" s="55">
      <c r="A61" s="73" t="n">
        <v>49</v>
      </c>
      <c r="B61" s="74" t="n">
        <v>2410404</v>
      </c>
      <c r="C61" s="75" t="n">
        <v>3122245002115</v>
      </c>
      <c r="D61" s="76" t="inlineStr">
        <is>
          <t>Supritha R</t>
        </is>
      </c>
      <c r="E61" s="76" t="inlineStr">
        <is>
          <t>supritha2410404@ssn.edu.in</t>
        </is>
      </c>
      <c r="F61" s="167" t="inlineStr">
        <is>
          <t>P</t>
        </is>
      </c>
      <c r="G61" s="82" t="inlineStr">
        <is>
          <t>P</t>
        </is>
      </c>
      <c r="H61" s="82" t="inlineStr">
        <is>
          <t>P</t>
        </is>
      </c>
      <c r="I61" s="82" t="inlineStr">
        <is>
          <t>P</t>
        </is>
      </c>
      <c r="J61" s="82" t="inlineStr">
        <is>
          <t>P</t>
        </is>
      </c>
      <c r="K61" s="82" t="inlineStr">
        <is>
          <t>P</t>
        </is>
      </c>
      <c r="L61" s="82" t="inlineStr">
        <is>
          <t>P</t>
        </is>
      </c>
      <c r="M61" s="82" t="inlineStr">
        <is>
          <t>P</t>
        </is>
      </c>
      <c r="N61" s="83" t="inlineStr">
        <is>
          <t>A</t>
        </is>
      </c>
      <c r="O61" s="83" t="inlineStr">
        <is>
          <t>P</t>
        </is>
      </c>
      <c r="P61" s="83" t="inlineStr">
        <is>
          <t>P</t>
        </is>
      </c>
      <c r="Q61" s="83" t="inlineStr">
        <is>
          <t>P</t>
        </is>
      </c>
      <c r="R61" s="83" t="inlineStr">
        <is>
          <t>P</t>
        </is>
      </c>
      <c r="S61" s="83" t="inlineStr">
        <is>
          <t>A</t>
        </is>
      </c>
      <c r="T61" s="83" t="inlineStr">
        <is>
          <t>P</t>
        </is>
      </c>
      <c r="U61" s="83" t="inlineStr">
        <is>
          <t>P</t>
        </is>
      </c>
      <c r="V61" s="83" t="inlineStr">
        <is>
          <t>P</t>
        </is>
      </c>
      <c r="W61" s="83" t="inlineStr">
        <is>
          <t>A</t>
        </is>
      </c>
      <c r="X61" s="83" t="inlineStr">
        <is>
          <t>A</t>
        </is>
      </c>
      <c r="Y61" s="165" t="n"/>
      <c r="Z61" s="81" t="n"/>
      <c r="AA61" s="81" t="n"/>
      <c r="AB61" s="81" t="n"/>
      <c r="AC61" s="81" t="n"/>
      <c r="AD61" s="71" t="n"/>
      <c r="AE61" s="71" t="n"/>
      <c r="AF61" s="71" t="n"/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1" t="n"/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 t="n"/>
      <c r="BJ61" s="71" t="n"/>
      <c r="BK61" s="71" t="n"/>
      <c r="BL61" s="71">
        <f>COUNTIF(F61:BK61,"P")</f>
        <v/>
      </c>
      <c r="BM61" s="71">
        <f>SUM((BL61/BL12)*100)</f>
        <v/>
      </c>
    </row>
    <row r="62" ht="21" customHeight="1" s="55">
      <c r="A62" s="73" t="n">
        <v>50</v>
      </c>
      <c r="B62" s="74" t="n">
        <v>2410239</v>
      </c>
      <c r="C62" s="75" t="n">
        <v>3122245002116</v>
      </c>
      <c r="D62" s="76" t="inlineStr">
        <is>
          <t>Sweta Sri P</t>
        </is>
      </c>
      <c r="E62" s="76" t="inlineStr">
        <is>
          <t>swetasri2410239@ssn.edu.in</t>
        </is>
      </c>
      <c r="F62" s="167" t="inlineStr">
        <is>
          <t>P</t>
        </is>
      </c>
      <c r="G62" s="82" t="inlineStr">
        <is>
          <t>P</t>
        </is>
      </c>
      <c r="H62" s="82" t="inlineStr">
        <is>
          <t>P</t>
        </is>
      </c>
      <c r="I62" s="82" t="inlineStr">
        <is>
          <t>P</t>
        </is>
      </c>
      <c r="J62" s="82" t="inlineStr">
        <is>
          <t>P</t>
        </is>
      </c>
      <c r="K62" s="82" t="inlineStr">
        <is>
          <t>P</t>
        </is>
      </c>
      <c r="L62" s="82" t="inlineStr">
        <is>
          <t>P</t>
        </is>
      </c>
      <c r="M62" s="82" t="inlineStr">
        <is>
          <t>P</t>
        </is>
      </c>
      <c r="N62" s="83" t="inlineStr">
        <is>
          <t>A</t>
        </is>
      </c>
      <c r="O62" s="83" t="inlineStr">
        <is>
          <t>P</t>
        </is>
      </c>
      <c r="P62" s="83" t="inlineStr">
        <is>
          <t>P</t>
        </is>
      </c>
      <c r="Q62" s="83" t="inlineStr">
        <is>
          <t>P</t>
        </is>
      </c>
      <c r="R62" s="83" t="inlineStr">
        <is>
          <t>P</t>
        </is>
      </c>
      <c r="S62" s="83" t="inlineStr">
        <is>
          <t>P</t>
        </is>
      </c>
      <c r="T62" s="83" t="inlineStr">
        <is>
          <t>A</t>
        </is>
      </c>
      <c r="U62" s="83" t="inlineStr">
        <is>
          <t>P</t>
        </is>
      </c>
      <c r="V62" s="83" t="inlineStr">
        <is>
          <t>P</t>
        </is>
      </c>
      <c r="W62" s="83" t="inlineStr">
        <is>
          <t>A</t>
        </is>
      </c>
      <c r="X62" s="83" t="inlineStr">
        <is>
          <t>P</t>
        </is>
      </c>
      <c r="Y62" s="165" t="n"/>
      <c r="Z62" s="81" t="n"/>
      <c r="AA62" s="81" t="n"/>
      <c r="AB62" s="81" t="n"/>
      <c r="AC62" s="8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1" t="n"/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 t="n"/>
      <c r="BJ62" s="71" t="n"/>
      <c r="BK62" s="71" t="n"/>
      <c r="BL62" s="71">
        <f>COUNTIF(F62:BK62,"P")</f>
        <v/>
      </c>
      <c r="BM62" s="71">
        <f>SUM((BL62/BL12)*100)</f>
        <v/>
      </c>
    </row>
    <row r="63" ht="21" customHeight="1" s="55">
      <c r="A63" s="73" t="n">
        <v>51</v>
      </c>
      <c r="B63" s="74" t="n">
        <v>2410247</v>
      </c>
      <c r="C63" s="75" t="n">
        <v>3122245002117</v>
      </c>
      <c r="D63" s="76" t="inlineStr">
        <is>
          <t>Tejaswin Bhola</t>
        </is>
      </c>
      <c r="E63" s="76" t="inlineStr">
        <is>
          <t>tejaswin2410247@ssn.edu.in</t>
        </is>
      </c>
      <c r="F63" s="167" t="inlineStr">
        <is>
          <t>P</t>
        </is>
      </c>
      <c r="G63" s="82" t="inlineStr">
        <is>
          <t>P</t>
        </is>
      </c>
      <c r="H63" s="82" t="inlineStr">
        <is>
          <t>P</t>
        </is>
      </c>
      <c r="I63" s="82" t="inlineStr">
        <is>
          <t>P</t>
        </is>
      </c>
      <c r="J63" s="82" t="inlineStr">
        <is>
          <t>P</t>
        </is>
      </c>
      <c r="K63" s="82" t="inlineStr">
        <is>
          <t>P</t>
        </is>
      </c>
      <c r="L63" s="82" t="inlineStr">
        <is>
          <t>P</t>
        </is>
      </c>
      <c r="M63" s="82" t="inlineStr">
        <is>
          <t>P</t>
        </is>
      </c>
      <c r="N63" s="83" t="inlineStr">
        <is>
          <t>A</t>
        </is>
      </c>
      <c r="O63" s="83" t="inlineStr">
        <is>
          <t>P</t>
        </is>
      </c>
      <c r="P63" s="83" t="inlineStr">
        <is>
          <t>P</t>
        </is>
      </c>
      <c r="Q63" s="83" t="inlineStr">
        <is>
          <t>A</t>
        </is>
      </c>
      <c r="R63" s="83" t="inlineStr">
        <is>
          <t>P</t>
        </is>
      </c>
      <c r="S63" s="83" t="inlineStr">
        <is>
          <t>P</t>
        </is>
      </c>
      <c r="T63" s="83" t="inlineStr">
        <is>
          <t>A</t>
        </is>
      </c>
      <c r="U63" s="83" t="inlineStr">
        <is>
          <t>P</t>
        </is>
      </c>
      <c r="V63" s="83" t="inlineStr">
        <is>
          <t>P</t>
        </is>
      </c>
      <c r="W63" s="83" t="inlineStr">
        <is>
          <t>A</t>
        </is>
      </c>
      <c r="X63" s="83" t="inlineStr">
        <is>
          <t>P</t>
        </is>
      </c>
      <c r="Y63" s="165" t="n"/>
      <c r="Z63" s="81" t="n"/>
      <c r="AA63" s="81" t="n"/>
      <c r="AB63" s="81" t="n"/>
      <c r="AC63" s="8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 t="n"/>
      <c r="BJ63" s="71" t="n"/>
      <c r="BK63" s="71" t="n"/>
      <c r="BL63" s="71">
        <f>COUNTIF(F63:BK63,"P")</f>
        <v/>
      </c>
      <c r="BM63" s="71">
        <f>SUM((BL63/BL12)*100)</f>
        <v/>
      </c>
    </row>
    <row r="64" ht="21" customHeight="1" s="55">
      <c r="A64" s="73" t="n">
        <v>52</v>
      </c>
      <c r="B64" s="74" t="n">
        <v>2410699</v>
      </c>
      <c r="C64" s="75" t="n">
        <v>3122245002118</v>
      </c>
      <c r="D64" s="76" t="inlineStr">
        <is>
          <t>Thamizhini R</t>
        </is>
      </c>
      <c r="E64" s="76" t="inlineStr">
        <is>
          <t>thamizhini2410699@ssn.edu.in</t>
        </is>
      </c>
      <c r="F64" s="167" t="inlineStr">
        <is>
          <t>P</t>
        </is>
      </c>
      <c r="G64" s="82" t="inlineStr">
        <is>
          <t>P</t>
        </is>
      </c>
      <c r="H64" s="82" t="inlineStr">
        <is>
          <t>A</t>
        </is>
      </c>
      <c r="I64" s="82" t="inlineStr">
        <is>
          <t>A</t>
        </is>
      </c>
      <c r="J64" s="82" t="inlineStr">
        <is>
          <t>A</t>
        </is>
      </c>
      <c r="K64" s="82" t="inlineStr">
        <is>
          <t>A</t>
        </is>
      </c>
      <c r="L64" s="82" t="inlineStr">
        <is>
          <t>P</t>
        </is>
      </c>
      <c r="M64" s="82" t="inlineStr">
        <is>
          <t>P</t>
        </is>
      </c>
      <c r="N64" s="83" t="inlineStr">
        <is>
          <t>A</t>
        </is>
      </c>
      <c r="O64" s="83" t="inlineStr">
        <is>
          <t>P</t>
        </is>
      </c>
      <c r="P64" s="83" t="inlineStr">
        <is>
          <t>P</t>
        </is>
      </c>
      <c r="Q64" s="83" t="inlineStr">
        <is>
          <t>P</t>
        </is>
      </c>
      <c r="R64" s="83" t="inlineStr">
        <is>
          <t>P</t>
        </is>
      </c>
      <c r="S64" s="83" t="inlineStr">
        <is>
          <t>P</t>
        </is>
      </c>
      <c r="T64" s="83" t="inlineStr">
        <is>
          <t>A</t>
        </is>
      </c>
      <c r="U64" s="83" t="inlineStr">
        <is>
          <t>P</t>
        </is>
      </c>
      <c r="V64" s="83" t="inlineStr">
        <is>
          <t>P</t>
        </is>
      </c>
      <c r="W64" s="83" t="inlineStr">
        <is>
          <t>A</t>
        </is>
      </c>
      <c r="X64" s="83" t="inlineStr">
        <is>
          <t>P</t>
        </is>
      </c>
      <c r="Y64" s="165" t="n"/>
      <c r="Z64" s="81" t="n"/>
      <c r="AA64" s="81" t="n"/>
      <c r="AB64" s="81" t="n"/>
      <c r="AC64" s="8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 t="n"/>
      <c r="BJ64" s="71" t="n"/>
      <c r="BK64" s="71" t="n"/>
      <c r="BL64" s="71">
        <f>COUNTIF(F64:BK64,"P")</f>
        <v/>
      </c>
      <c r="BM64" s="71">
        <f>SUM((BL64/BL12)*100)</f>
        <v/>
      </c>
    </row>
    <row r="65" ht="21" customHeight="1" s="55">
      <c r="A65" s="73" t="n">
        <v>53</v>
      </c>
      <c r="B65" s="74" t="n">
        <v>2410405</v>
      </c>
      <c r="C65" s="75" t="n">
        <v>3122245002119</v>
      </c>
      <c r="D65" s="76" t="inlineStr">
        <is>
          <t>Tharun Balaji M</t>
        </is>
      </c>
      <c r="E65" s="76" t="inlineStr">
        <is>
          <t>tharunbalaji2410405@ssn.edu.in</t>
        </is>
      </c>
      <c r="F65" s="167" t="inlineStr">
        <is>
          <t>P</t>
        </is>
      </c>
      <c r="G65" s="82" t="inlineStr">
        <is>
          <t>P</t>
        </is>
      </c>
      <c r="H65" s="82" t="inlineStr">
        <is>
          <t>P</t>
        </is>
      </c>
      <c r="I65" s="82" t="inlineStr">
        <is>
          <t>P</t>
        </is>
      </c>
      <c r="J65" s="82" t="inlineStr">
        <is>
          <t>P</t>
        </is>
      </c>
      <c r="K65" s="82" t="inlineStr">
        <is>
          <t>P</t>
        </is>
      </c>
      <c r="L65" s="82" t="inlineStr">
        <is>
          <t>P</t>
        </is>
      </c>
      <c r="M65" s="82" t="inlineStr">
        <is>
          <t>P</t>
        </is>
      </c>
      <c r="N65" s="83" t="inlineStr">
        <is>
          <t>A</t>
        </is>
      </c>
      <c r="O65" s="83" t="inlineStr">
        <is>
          <t>P</t>
        </is>
      </c>
      <c r="P65" s="83" t="inlineStr">
        <is>
          <t>A</t>
        </is>
      </c>
      <c r="Q65" s="83" t="inlineStr">
        <is>
          <t>A</t>
        </is>
      </c>
      <c r="R65" s="83" t="inlineStr">
        <is>
          <t>P</t>
        </is>
      </c>
      <c r="S65" s="83" t="inlineStr">
        <is>
          <t>P</t>
        </is>
      </c>
      <c r="T65" s="83" t="inlineStr">
        <is>
          <t>P</t>
        </is>
      </c>
      <c r="U65" s="83" t="inlineStr">
        <is>
          <t>A</t>
        </is>
      </c>
      <c r="V65" s="83" t="inlineStr">
        <is>
          <t>P</t>
        </is>
      </c>
      <c r="W65" s="83" t="inlineStr">
        <is>
          <t>P</t>
        </is>
      </c>
      <c r="X65" s="83" t="inlineStr">
        <is>
          <t>P</t>
        </is>
      </c>
      <c r="Y65" s="165" t="n"/>
      <c r="Z65" s="81" t="n"/>
      <c r="AA65" s="81" t="n"/>
      <c r="AB65" s="81" t="n"/>
      <c r="AC65" s="8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1" t="n"/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 t="n"/>
      <c r="BJ65" s="71" t="n"/>
      <c r="BK65" s="71" t="n"/>
      <c r="BL65" s="71">
        <f>COUNTIF(F65:BK65,"P")</f>
        <v/>
      </c>
      <c r="BM65" s="71">
        <f>SUM((BL65/BL12)*100)</f>
        <v/>
      </c>
    </row>
    <row r="66" ht="21" customHeight="1" s="55">
      <c r="A66" s="73" t="n">
        <v>54</v>
      </c>
      <c r="B66" s="74" t="n">
        <v>2410785</v>
      </c>
      <c r="C66" s="75" t="n">
        <v>3122245002120</v>
      </c>
      <c r="D66" s="76" t="inlineStr">
        <is>
          <t>Thavasi M</t>
        </is>
      </c>
      <c r="E66" s="76" t="inlineStr">
        <is>
          <t>thavasi2410785@ssn.edu.in</t>
        </is>
      </c>
      <c r="F66" s="167" t="inlineStr">
        <is>
          <t>P</t>
        </is>
      </c>
      <c r="G66" s="82" t="inlineStr">
        <is>
          <t>P</t>
        </is>
      </c>
      <c r="H66" s="82" t="inlineStr">
        <is>
          <t>P</t>
        </is>
      </c>
      <c r="I66" s="82" t="inlineStr">
        <is>
          <t>P</t>
        </is>
      </c>
      <c r="J66" s="82" t="inlineStr">
        <is>
          <t>P</t>
        </is>
      </c>
      <c r="K66" s="82" t="inlineStr">
        <is>
          <t>P</t>
        </is>
      </c>
      <c r="L66" s="82" t="inlineStr">
        <is>
          <t>A</t>
        </is>
      </c>
      <c r="M66" s="82" t="inlineStr">
        <is>
          <t>A</t>
        </is>
      </c>
      <c r="N66" s="83" t="inlineStr">
        <is>
          <t>P</t>
        </is>
      </c>
      <c r="O66" s="83" t="inlineStr">
        <is>
          <t>P</t>
        </is>
      </c>
      <c r="P66" s="83" t="inlineStr">
        <is>
          <t>A</t>
        </is>
      </c>
      <c r="Q66" s="83" t="inlineStr">
        <is>
          <t>P</t>
        </is>
      </c>
      <c r="R66" s="83" t="inlineStr">
        <is>
          <t>P</t>
        </is>
      </c>
      <c r="S66" s="83" t="inlineStr">
        <is>
          <t>P</t>
        </is>
      </c>
      <c r="T66" s="83" t="inlineStr">
        <is>
          <t>P</t>
        </is>
      </c>
      <c r="U66" s="83" t="inlineStr">
        <is>
          <t>P</t>
        </is>
      </c>
      <c r="V66" s="83" t="inlineStr">
        <is>
          <t>P</t>
        </is>
      </c>
      <c r="W66" s="83" t="inlineStr">
        <is>
          <t>P</t>
        </is>
      </c>
      <c r="X66" s="83" t="inlineStr">
        <is>
          <t>A</t>
        </is>
      </c>
      <c r="Y66" s="165" t="n"/>
      <c r="Z66" s="81" t="n"/>
      <c r="AA66" s="81" t="n"/>
      <c r="AB66" s="81" t="n"/>
      <c r="AC66" s="8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1" t="n"/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 t="n"/>
      <c r="BJ66" s="71" t="n"/>
      <c r="BK66" s="71" t="n"/>
      <c r="BL66" s="71">
        <f>COUNTIF(F66:BK66,"P")</f>
        <v/>
      </c>
      <c r="BM66" s="71">
        <f>SUM((BL66/BL12)*100)</f>
        <v/>
      </c>
    </row>
    <row r="67" ht="21" customHeight="1" s="55">
      <c r="A67" s="73" t="n">
        <v>55</v>
      </c>
      <c r="B67" s="74" t="n">
        <v>2410584</v>
      </c>
      <c r="C67" s="75" t="n">
        <v>3122245002121</v>
      </c>
      <c r="D67" s="76" t="inlineStr">
        <is>
          <t>Thirukkumaran V M</t>
        </is>
      </c>
      <c r="E67" s="76" t="inlineStr">
        <is>
          <t>thirukkumaran2410584@ssn.edu.in</t>
        </is>
      </c>
      <c r="F67" s="167" t="inlineStr">
        <is>
          <t>P</t>
        </is>
      </c>
      <c r="G67" s="82" t="inlineStr">
        <is>
          <t>P</t>
        </is>
      </c>
      <c r="H67" s="82" t="inlineStr">
        <is>
          <t>P</t>
        </is>
      </c>
      <c r="I67" s="82" t="inlineStr">
        <is>
          <t>P</t>
        </is>
      </c>
      <c r="J67" s="82" t="inlineStr">
        <is>
          <t>P</t>
        </is>
      </c>
      <c r="K67" s="82" t="inlineStr">
        <is>
          <t>P</t>
        </is>
      </c>
      <c r="L67" s="82" t="inlineStr">
        <is>
          <t>P</t>
        </is>
      </c>
      <c r="M67" s="82" t="inlineStr">
        <is>
          <t>P</t>
        </is>
      </c>
      <c r="N67" s="83" t="inlineStr">
        <is>
          <t>P</t>
        </is>
      </c>
      <c r="O67" s="83" t="inlineStr">
        <is>
          <t>P</t>
        </is>
      </c>
      <c r="P67" s="83" t="inlineStr">
        <is>
          <t>P</t>
        </is>
      </c>
      <c r="Q67" s="83" t="inlineStr">
        <is>
          <t>P</t>
        </is>
      </c>
      <c r="R67" s="83" t="inlineStr">
        <is>
          <t>P</t>
        </is>
      </c>
      <c r="S67" s="83" t="inlineStr">
        <is>
          <t>P</t>
        </is>
      </c>
      <c r="T67" s="83" t="inlineStr">
        <is>
          <t>A</t>
        </is>
      </c>
      <c r="U67" s="83" t="inlineStr">
        <is>
          <t>P</t>
        </is>
      </c>
      <c r="V67" s="83" t="inlineStr">
        <is>
          <t>A</t>
        </is>
      </c>
      <c r="W67" s="83" t="inlineStr">
        <is>
          <t>P</t>
        </is>
      </c>
      <c r="X67" s="83" t="inlineStr">
        <is>
          <t>P</t>
        </is>
      </c>
      <c r="Y67" s="165" t="n"/>
      <c r="Z67" s="81" t="n"/>
      <c r="AA67" s="81" t="n"/>
      <c r="AB67" s="81" t="n"/>
      <c r="AC67" s="8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1" t="n"/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 t="n"/>
      <c r="BJ67" s="71" t="n"/>
      <c r="BK67" s="71" t="n"/>
      <c r="BL67" s="71">
        <f>COUNTIF(F67:BK67,"P")</f>
        <v/>
      </c>
      <c r="BM67" s="71">
        <f>SUM((BL67/BL12)*100)</f>
        <v/>
      </c>
    </row>
    <row r="68" ht="21" customHeight="1" s="55">
      <c r="A68" s="73" t="n">
        <v>56</v>
      </c>
      <c r="B68" s="74" t="n">
        <v>2410413</v>
      </c>
      <c r="C68" s="75" t="n">
        <v>3122245002122</v>
      </c>
      <c r="D68" s="76" t="inlineStr">
        <is>
          <t>Varsha M</t>
        </is>
      </c>
      <c r="E68" s="76" t="inlineStr">
        <is>
          <t>varsha2410413@ssn.edu.in</t>
        </is>
      </c>
      <c r="F68" s="167" t="inlineStr">
        <is>
          <t>P</t>
        </is>
      </c>
      <c r="G68" s="82" t="inlineStr">
        <is>
          <t>P</t>
        </is>
      </c>
      <c r="H68" s="82" t="inlineStr">
        <is>
          <t>P</t>
        </is>
      </c>
      <c r="I68" s="82" t="inlineStr">
        <is>
          <t>P</t>
        </is>
      </c>
      <c r="J68" s="82" t="inlineStr">
        <is>
          <t>P</t>
        </is>
      </c>
      <c r="K68" s="82" t="inlineStr">
        <is>
          <t>P</t>
        </is>
      </c>
      <c r="L68" s="82" t="inlineStr">
        <is>
          <t>P</t>
        </is>
      </c>
      <c r="M68" s="82" t="inlineStr">
        <is>
          <t>P</t>
        </is>
      </c>
      <c r="N68" s="83" t="inlineStr">
        <is>
          <t>A</t>
        </is>
      </c>
      <c r="O68" s="83" t="inlineStr">
        <is>
          <t>P</t>
        </is>
      </c>
      <c r="P68" s="83" t="inlineStr">
        <is>
          <t>P</t>
        </is>
      </c>
      <c r="Q68" s="83" t="inlineStr">
        <is>
          <t>P</t>
        </is>
      </c>
      <c r="R68" s="83" t="inlineStr">
        <is>
          <t>P</t>
        </is>
      </c>
      <c r="S68" s="83" t="inlineStr">
        <is>
          <t>A</t>
        </is>
      </c>
      <c r="T68" s="83" t="inlineStr">
        <is>
          <t>P</t>
        </is>
      </c>
      <c r="U68" s="83" t="inlineStr">
        <is>
          <t>P</t>
        </is>
      </c>
      <c r="V68" s="83" t="inlineStr">
        <is>
          <t>P</t>
        </is>
      </c>
      <c r="W68" s="83" t="inlineStr">
        <is>
          <t>P</t>
        </is>
      </c>
      <c r="X68" s="83" t="inlineStr">
        <is>
          <t>A</t>
        </is>
      </c>
      <c r="Y68" s="165" t="n"/>
      <c r="Z68" s="81" t="n"/>
      <c r="AA68" s="81" t="n"/>
      <c r="AB68" s="81" t="n"/>
      <c r="AC68" s="8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1" t="n"/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 t="n"/>
      <c r="BJ68" s="71" t="n"/>
      <c r="BK68" s="71" t="n"/>
      <c r="BL68" s="71">
        <f>COUNTIF(F68:BK68,"P")</f>
        <v/>
      </c>
      <c r="BM68" s="71">
        <f>SUM((BL68/BL12)*100)</f>
        <v/>
      </c>
    </row>
    <row r="69" ht="21" customHeight="1" s="55">
      <c r="A69" s="73" t="n">
        <v>57</v>
      </c>
      <c r="B69" s="74" t="n">
        <v>2410848</v>
      </c>
      <c r="C69" s="75" t="n">
        <v>3122245002123</v>
      </c>
      <c r="D69" s="76" t="inlineStr">
        <is>
          <t>Varsha S</t>
        </is>
      </c>
      <c r="E69" s="76" t="inlineStr">
        <is>
          <t>varsha2410848@ssn.edu.in</t>
        </is>
      </c>
      <c r="F69" s="167" t="inlineStr">
        <is>
          <t>P</t>
        </is>
      </c>
      <c r="G69" s="82" t="inlineStr">
        <is>
          <t>P</t>
        </is>
      </c>
      <c r="H69" s="82" t="inlineStr">
        <is>
          <t>P</t>
        </is>
      </c>
      <c r="I69" s="82" t="inlineStr">
        <is>
          <t>A</t>
        </is>
      </c>
      <c r="J69" s="82" t="inlineStr">
        <is>
          <t>A</t>
        </is>
      </c>
      <c r="K69" s="82" t="inlineStr">
        <is>
          <t>P</t>
        </is>
      </c>
      <c r="L69" s="82" t="inlineStr">
        <is>
          <t>A</t>
        </is>
      </c>
      <c r="M69" s="82" t="inlineStr">
        <is>
          <t>A</t>
        </is>
      </c>
      <c r="N69" s="83" t="inlineStr">
        <is>
          <t>P</t>
        </is>
      </c>
      <c r="O69" s="83" t="inlineStr">
        <is>
          <t>A</t>
        </is>
      </c>
      <c r="P69" s="83" t="inlineStr">
        <is>
          <t>A</t>
        </is>
      </c>
      <c r="Q69" s="83" t="inlineStr">
        <is>
          <t>A</t>
        </is>
      </c>
      <c r="R69" s="83" t="inlineStr">
        <is>
          <t>A</t>
        </is>
      </c>
      <c r="S69" s="83" t="inlineStr">
        <is>
          <t>A</t>
        </is>
      </c>
      <c r="T69" s="83" t="inlineStr">
        <is>
          <t>P</t>
        </is>
      </c>
      <c r="U69" s="83" t="inlineStr">
        <is>
          <t>A</t>
        </is>
      </c>
      <c r="V69" s="83" t="inlineStr">
        <is>
          <t>A</t>
        </is>
      </c>
      <c r="W69" s="83" t="inlineStr">
        <is>
          <t>A</t>
        </is>
      </c>
      <c r="X69" s="83" t="inlineStr">
        <is>
          <t>A</t>
        </is>
      </c>
      <c r="Y69" s="165" t="n"/>
      <c r="Z69" s="81" t="n"/>
      <c r="AA69" s="81" t="n"/>
      <c r="AB69" s="81" t="n"/>
      <c r="AC69" s="8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1" t="n"/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 t="n"/>
      <c r="BJ69" s="71" t="n"/>
      <c r="BK69" s="71" t="n"/>
      <c r="BL69" s="71">
        <f>COUNTIF(F69:BK69,"P")</f>
        <v/>
      </c>
      <c r="BM69" s="71">
        <f>SUM((BL69/BL12)*100)</f>
        <v/>
      </c>
    </row>
    <row r="70" ht="21" customHeight="1" s="55">
      <c r="A70" s="73" t="n">
        <v>58</v>
      </c>
      <c r="B70" s="74" t="n">
        <v>2410804</v>
      </c>
      <c r="C70" s="75" t="n">
        <v>3122245002124</v>
      </c>
      <c r="D70" s="76" t="inlineStr">
        <is>
          <t>Vijai T</t>
        </is>
      </c>
      <c r="E70" s="76" t="inlineStr">
        <is>
          <t>vijai2410804@ssn.edu.in</t>
        </is>
      </c>
      <c r="F70" s="167" t="inlineStr">
        <is>
          <t>P</t>
        </is>
      </c>
      <c r="G70" s="82" t="inlineStr">
        <is>
          <t>P</t>
        </is>
      </c>
      <c r="H70" s="82" t="inlineStr">
        <is>
          <t>P</t>
        </is>
      </c>
      <c r="I70" s="82" t="inlineStr">
        <is>
          <t>P</t>
        </is>
      </c>
      <c r="J70" s="82" t="inlineStr">
        <is>
          <t>P</t>
        </is>
      </c>
      <c r="K70" s="82" t="inlineStr">
        <is>
          <t>P</t>
        </is>
      </c>
      <c r="L70" s="82" t="inlineStr">
        <is>
          <t>P</t>
        </is>
      </c>
      <c r="M70" s="82" t="inlineStr">
        <is>
          <t>P</t>
        </is>
      </c>
      <c r="N70" s="83" t="inlineStr">
        <is>
          <t>P</t>
        </is>
      </c>
      <c r="O70" s="83" t="inlineStr">
        <is>
          <t>P</t>
        </is>
      </c>
      <c r="P70" s="83" t="inlineStr">
        <is>
          <t>A</t>
        </is>
      </c>
      <c r="Q70" s="83" t="inlineStr">
        <is>
          <t>A</t>
        </is>
      </c>
      <c r="R70" s="83" t="inlineStr">
        <is>
          <t>P</t>
        </is>
      </c>
      <c r="S70" s="83" t="inlineStr">
        <is>
          <t>A</t>
        </is>
      </c>
      <c r="T70" s="83" t="inlineStr">
        <is>
          <t>A</t>
        </is>
      </c>
      <c r="U70" s="83" t="inlineStr">
        <is>
          <t>A</t>
        </is>
      </c>
      <c r="V70" s="83" t="inlineStr">
        <is>
          <t>P</t>
        </is>
      </c>
      <c r="W70" s="83" t="inlineStr">
        <is>
          <t>A</t>
        </is>
      </c>
      <c r="X70" s="83" t="inlineStr">
        <is>
          <t>P</t>
        </is>
      </c>
      <c r="Y70" s="165" t="n"/>
      <c r="Z70" s="81" t="n"/>
      <c r="AA70" s="81" t="n"/>
      <c r="AB70" s="81" t="n"/>
      <c r="AC70" s="81" t="n"/>
      <c r="AD70" s="71" t="n"/>
      <c r="AE70" s="71" t="n"/>
      <c r="AF70" s="71" t="n"/>
      <c r="AG70" s="71" t="n"/>
      <c r="AH70" s="71" t="n"/>
      <c r="AI70" s="71" t="n"/>
      <c r="AJ70" s="71" t="n"/>
      <c r="AK70" s="71" t="n"/>
      <c r="AL70" s="71" t="n"/>
      <c r="AM70" s="71" t="n"/>
      <c r="AN70" s="71" t="n"/>
      <c r="AO70" s="71" t="n"/>
      <c r="AP70" s="71" t="n"/>
      <c r="AQ70" s="71" t="n"/>
      <c r="AR70" s="71" t="n"/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 t="n"/>
      <c r="BJ70" s="71" t="n"/>
      <c r="BK70" s="71" t="n"/>
      <c r="BL70" s="71">
        <f>COUNTIF(F70:BK70,"P")</f>
        <v/>
      </c>
      <c r="BM70" s="71">
        <f>SUM((BL70/BL12)*100)</f>
        <v/>
      </c>
    </row>
    <row r="71" ht="21" customHeight="1" s="55">
      <c r="A71" s="73" t="n">
        <v>59</v>
      </c>
      <c r="B71" s="74" t="n">
        <v>2410586</v>
      </c>
      <c r="C71" s="75" t="n">
        <v>3122245002125</v>
      </c>
      <c r="D71" s="76" t="inlineStr">
        <is>
          <t>Vimal Raj M</t>
        </is>
      </c>
      <c r="E71" s="76" t="inlineStr">
        <is>
          <t>vimalraj2410586@ssn.edu.in</t>
        </is>
      </c>
      <c r="F71" s="167" t="inlineStr">
        <is>
          <t>P</t>
        </is>
      </c>
      <c r="G71" s="82" t="inlineStr">
        <is>
          <t>P</t>
        </is>
      </c>
      <c r="H71" s="82" t="inlineStr">
        <is>
          <t>P</t>
        </is>
      </c>
      <c r="I71" s="82" t="inlineStr">
        <is>
          <t>P</t>
        </is>
      </c>
      <c r="J71" s="82" t="inlineStr">
        <is>
          <t>P</t>
        </is>
      </c>
      <c r="K71" s="82" t="inlineStr">
        <is>
          <t>P</t>
        </is>
      </c>
      <c r="L71" s="82" t="inlineStr">
        <is>
          <t>P</t>
        </is>
      </c>
      <c r="M71" s="82" t="inlineStr">
        <is>
          <t>P</t>
        </is>
      </c>
      <c r="N71" s="83" t="inlineStr">
        <is>
          <t>A</t>
        </is>
      </c>
      <c r="O71" s="83" t="inlineStr">
        <is>
          <t>P</t>
        </is>
      </c>
      <c r="P71" s="83" t="inlineStr">
        <is>
          <t>P</t>
        </is>
      </c>
      <c r="Q71" s="83" t="inlineStr">
        <is>
          <t>A</t>
        </is>
      </c>
      <c r="R71" s="83" t="inlineStr">
        <is>
          <t>P</t>
        </is>
      </c>
      <c r="S71" s="83" t="inlineStr">
        <is>
          <t>A</t>
        </is>
      </c>
      <c r="T71" s="83" t="inlineStr">
        <is>
          <t>A</t>
        </is>
      </c>
      <c r="U71" s="83" t="inlineStr">
        <is>
          <t>A</t>
        </is>
      </c>
      <c r="V71" s="83" t="inlineStr">
        <is>
          <t>P</t>
        </is>
      </c>
      <c r="W71" s="83" t="inlineStr">
        <is>
          <t>A</t>
        </is>
      </c>
      <c r="X71" s="83" t="inlineStr">
        <is>
          <t>A</t>
        </is>
      </c>
      <c r="Y71" s="165" t="n"/>
      <c r="Z71" s="81" t="n"/>
      <c r="AA71" s="81" t="n"/>
      <c r="AB71" s="81" t="n"/>
      <c r="AC71" s="8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 t="n"/>
      <c r="BJ71" s="71" t="n"/>
      <c r="BK71" s="71" t="n"/>
      <c r="BL71" s="71">
        <f>COUNTIF(F71:BK71,"P")</f>
        <v/>
      </c>
      <c r="BM71" s="71">
        <f>SUM((BL71/BL12)*100)</f>
        <v/>
      </c>
    </row>
    <row r="72" ht="21" customHeight="1" s="55">
      <c r="A72" s="73" t="n">
        <v>60</v>
      </c>
      <c r="B72" s="74" t="n">
        <v>2410781</v>
      </c>
      <c r="C72" s="75" t="n">
        <v>3122245002126</v>
      </c>
      <c r="D72" s="76" t="inlineStr">
        <is>
          <t>Vinobalan K</t>
        </is>
      </c>
      <c r="E72" s="76" t="inlineStr">
        <is>
          <t>vinobalan2410781@ssn.edu.in</t>
        </is>
      </c>
      <c r="F72" s="167" t="inlineStr">
        <is>
          <t>P</t>
        </is>
      </c>
      <c r="G72" s="82" t="inlineStr">
        <is>
          <t>P</t>
        </is>
      </c>
      <c r="H72" s="82" t="inlineStr">
        <is>
          <t>P</t>
        </is>
      </c>
      <c r="I72" s="82" t="inlineStr">
        <is>
          <t>P</t>
        </is>
      </c>
      <c r="J72" s="82" t="inlineStr">
        <is>
          <t>P</t>
        </is>
      </c>
      <c r="K72" s="82" t="inlineStr">
        <is>
          <t>P</t>
        </is>
      </c>
      <c r="L72" s="82" t="inlineStr">
        <is>
          <t>P</t>
        </is>
      </c>
      <c r="M72" s="82" t="inlineStr">
        <is>
          <t>P</t>
        </is>
      </c>
      <c r="N72" s="83" t="inlineStr">
        <is>
          <t>P</t>
        </is>
      </c>
      <c r="O72" s="83" t="inlineStr">
        <is>
          <t>P</t>
        </is>
      </c>
      <c r="P72" s="83" t="inlineStr">
        <is>
          <t>P</t>
        </is>
      </c>
      <c r="Q72" s="83" t="inlineStr">
        <is>
          <t>P</t>
        </is>
      </c>
      <c r="R72" s="83" t="inlineStr">
        <is>
          <t>P</t>
        </is>
      </c>
      <c r="S72" s="83" t="inlineStr">
        <is>
          <t>P</t>
        </is>
      </c>
      <c r="T72" s="83" t="inlineStr">
        <is>
          <t>A</t>
        </is>
      </c>
      <c r="U72" s="83" t="inlineStr">
        <is>
          <t>A</t>
        </is>
      </c>
      <c r="V72" s="83" t="inlineStr">
        <is>
          <t>P</t>
        </is>
      </c>
      <c r="W72" s="83" t="inlineStr">
        <is>
          <t>A</t>
        </is>
      </c>
      <c r="X72" s="83" t="inlineStr">
        <is>
          <t>P</t>
        </is>
      </c>
      <c r="Y72" s="165" t="n"/>
      <c r="Z72" s="81" t="n"/>
      <c r="AA72" s="81" t="n"/>
      <c r="AB72" s="81" t="n"/>
      <c r="AC72" s="81" t="n"/>
      <c r="AD72" s="71" t="n"/>
      <c r="AE72" s="71" t="n"/>
      <c r="AF72" s="71" t="n"/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 t="n"/>
      <c r="BJ72" s="71" t="n"/>
      <c r="BK72" s="71" t="n"/>
      <c r="BL72" s="71">
        <f>COUNTIF(F72:BK72,"P")</f>
        <v/>
      </c>
      <c r="BM72" s="71">
        <f>SUM((BL72/BL12)*100)</f>
        <v/>
      </c>
    </row>
    <row r="73" ht="21" customHeight="1" s="55">
      <c r="A73" s="73" t="n">
        <v>61</v>
      </c>
      <c r="B73" s="74" t="n">
        <v>2410739</v>
      </c>
      <c r="C73" s="75" t="n">
        <v>3122245002127</v>
      </c>
      <c r="D73" s="76" t="inlineStr">
        <is>
          <t>Vishnu A</t>
        </is>
      </c>
      <c r="E73" s="76" t="inlineStr">
        <is>
          <t>vishnu2410739@ssn.edu.in</t>
        </is>
      </c>
      <c r="F73" s="167" t="inlineStr">
        <is>
          <t>P</t>
        </is>
      </c>
      <c r="G73" s="82" t="inlineStr">
        <is>
          <t>P</t>
        </is>
      </c>
      <c r="H73" s="82" t="inlineStr">
        <is>
          <t>P</t>
        </is>
      </c>
      <c r="I73" s="82" t="inlineStr">
        <is>
          <t>P</t>
        </is>
      </c>
      <c r="J73" s="82" t="inlineStr">
        <is>
          <t>P</t>
        </is>
      </c>
      <c r="K73" s="82" t="inlineStr">
        <is>
          <t>P</t>
        </is>
      </c>
      <c r="L73" s="82" t="inlineStr">
        <is>
          <t>P</t>
        </is>
      </c>
      <c r="M73" s="82" t="inlineStr">
        <is>
          <t>P</t>
        </is>
      </c>
      <c r="N73" s="83" t="inlineStr">
        <is>
          <t>A</t>
        </is>
      </c>
      <c r="O73" s="83" t="inlineStr">
        <is>
          <t>P</t>
        </is>
      </c>
      <c r="P73" s="83" t="inlineStr">
        <is>
          <t>P</t>
        </is>
      </c>
      <c r="Q73" s="83" t="inlineStr">
        <is>
          <t>P</t>
        </is>
      </c>
      <c r="R73" s="83" t="inlineStr">
        <is>
          <t>P</t>
        </is>
      </c>
      <c r="S73" s="83" t="inlineStr">
        <is>
          <t>P</t>
        </is>
      </c>
      <c r="T73" s="83" t="inlineStr">
        <is>
          <t>P</t>
        </is>
      </c>
      <c r="U73" s="83" t="inlineStr">
        <is>
          <t>P</t>
        </is>
      </c>
      <c r="V73" s="83" t="inlineStr">
        <is>
          <t>P</t>
        </is>
      </c>
      <c r="W73" s="83" t="inlineStr">
        <is>
          <t>A</t>
        </is>
      </c>
      <c r="X73" s="83" t="inlineStr">
        <is>
          <t>A</t>
        </is>
      </c>
      <c r="Y73" s="165" t="n"/>
      <c r="Z73" s="81" t="n"/>
      <c r="AA73" s="81" t="n"/>
      <c r="AB73" s="81" t="n"/>
      <c r="AC73" s="8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1" t="n"/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 t="n"/>
      <c r="BJ73" s="71" t="n"/>
      <c r="BK73" s="71" t="n"/>
      <c r="BL73" s="71">
        <f>COUNTIF(F73:BK73,"P")</f>
        <v/>
      </c>
      <c r="BM73" s="71">
        <f>SUM((BL73/BL12)*100)</f>
        <v/>
      </c>
    </row>
    <row r="74" ht="21" customHeight="1" s="55">
      <c r="A74" s="73" t="n">
        <v>62</v>
      </c>
      <c r="B74" s="74" t="n">
        <v>2410079</v>
      </c>
      <c r="C74" s="75" t="n">
        <v>3122245002128</v>
      </c>
      <c r="D74" s="76" t="inlineStr">
        <is>
          <t>Yasasvini Tiwari</t>
        </is>
      </c>
      <c r="E74" s="76" t="inlineStr">
        <is>
          <t>yasasvini2410079@ssn.edu.in</t>
        </is>
      </c>
      <c r="F74" s="167" t="inlineStr">
        <is>
          <t>P</t>
        </is>
      </c>
      <c r="G74" s="82" t="inlineStr">
        <is>
          <t>A</t>
        </is>
      </c>
      <c r="H74" s="82" t="inlineStr">
        <is>
          <t>A</t>
        </is>
      </c>
      <c r="I74" s="82" t="inlineStr">
        <is>
          <t>A</t>
        </is>
      </c>
      <c r="J74" s="82" t="inlineStr">
        <is>
          <t>A</t>
        </is>
      </c>
      <c r="K74" s="82" t="inlineStr">
        <is>
          <t>P</t>
        </is>
      </c>
      <c r="L74" s="82" t="inlineStr">
        <is>
          <t>P</t>
        </is>
      </c>
      <c r="M74" s="82" t="inlineStr">
        <is>
          <t>P</t>
        </is>
      </c>
      <c r="N74" s="83" t="inlineStr">
        <is>
          <t>A</t>
        </is>
      </c>
      <c r="O74" s="83" t="inlineStr">
        <is>
          <t>P</t>
        </is>
      </c>
      <c r="P74" s="83" t="inlineStr">
        <is>
          <t>P</t>
        </is>
      </c>
      <c r="Q74" s="83" t="inlineStr">
        <is>
          <t>P</t>
        </is>
      </c>
      <c r="R74" s="83" t="inlineStr">
        <is>
          <t>P</t>
        </is>
      </c>
      <c r="S74" s="83" t="inlineStr">
        <is>
          <t>P</t>
        </is>
      </c>
      <c r="T74" s="83" t="inlineStr">
        <is>
          <t>P</t>
        </is>
      </c>
      <c r="U74" s="83" t="inlineStr">
        <is>
          <t>P</t>
        </is>
      </c>
      <c r="V74" s="83" t="inlineStr">
        <is>
          <t>P</t>
        </is>
      </c>
      <c r="W74" s="83" t="inlineStr">
        <is>
          <t>P</t>
        </is>
      </c>
      <c r="X74" s="83" t="inlineStr">
        <is>
          <t>P</t>
        </is>
      </c>
      <c r="Y74" s="165" t="n"/>
      <c r="Z74" s="81" t="n"/>
      <c r="AA74" s="81" t="n"/>
      <c r="AB74" s="81" t="n"/>
      <c r="AC74" s="8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1" t="n"/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 t="n"/>
      <c r="BJ74" s="71" t="n"/>
      <c r="BK74" s="71" t="n"/>
      <c r="BL74" s="71">
        <f>COUNTIF(F74:BK74,"P")</f>
        <v/>
      </c>
      <c r="BM74" s="71">
        <f>SUM((BL74/BL12)*100)</f>
        <v/>
      </c>
    </row>
    <row r="75" ht="21" customHeight="1" s="55">
      <c r="A75" s="73" t="n">
        <v>63</v>
      </c>
      <c r="B75" s="74" t="n">
        <v>2410480</v>
      </c>
      <c r="C75" s="75" t="n">
        <v>3122245002129</v>
      </c>
      <c r="D75" s="76" t="inlineStr">
        <is>
          <t>Yashwanth B</t>
        </is>
      </c>
      <c r="E75" s="76" t="inlineStr">
        <is>
          <t>yashwanth2410480@ssn.edu.in</t>
        </is>
      </c>
      <c r="F75" s="167" t="inlineStr">
        <is>
          <t>P</t>
        </is>
      </c>
      <c r="G75" s="82" t="inlineStr">
        <is>
          <t>A</t>
        </is>
      </c>
      <c r="H75" s="82" t="inlineStr">
        <is>
          <t>P</t>
        </is>
      </c>
      <c r="I75" s="82" t="inlineStr">
        <is>
          <t>P</t>
        </is>
      </c>
      <c r="J75" s="82" t="inlineStr">
        <is>
          <t>P</t>
        </is>
      </c>
      <c r="K75" s="82" t="inlineStr">
        <is>
          <t>P</t>
        </is>
      </c>
      <c r="L75" s="82" t="inlineStr">
        <is>
          <t>P</t>
        </is>
      </c>
      <c r="M75" s="82" t="inlineStr">
        <is>
          <t>P</t>
        </is>
      </c>
      <c r="N75" s="83" t="inlineStr">
        <is>
          <t>A</t>
        </is>
      </c>
      <c r="O75" s="83" t="inlineStr">
        <is>
          <t>P</t>
        </is>
      </c>
      <c r="P75" s="83" t="inlineStr">
        <is>
          <t>A</t>
        </is>
      </c>
      <c r="Q75" s="83" t="inlineStr">
        <is>
          <t>P</t>
        </is>
      </c>
      <c r="R75" s="83" t="inlineStr">
        <is>
          <t>P</t>
        </is>
      </c>
      <c r="S75" s="83" t="inlineStr">
        <is>
          <t>P</t>
        </is>
      </c>
      <c r="T75" s="83" t="inlineStr">
        <is>
          <t>P</t>
        </is>
      </c>
      <c r="U75" s="83" t="inlineStr">
        <is>
          <t>P</t>
        </is>
      </c>
      <c r="V75" s="83" t="inlineStr">
        <is>
          <t>P</t>
        </is>
      </c>
      <c r="W75" s="83" t="inlineStr">
        <is>
          <t>A</t>
        </is>
      </c>
      <c r="X75" s="83" t="inlineStr">
        <is>
          <t>A</t>
        </is>
      </c>
      <c r="Y75" s="165" t="n"/>
      <c r="Z75" s="81" t="n"/>
      <c r="AA75" s="81" t="n"/>
      <c r="AB75" s="81" t="n"/>
      <c r="AC75" s="8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1" t="n"/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 t="n"/>
      <c r="BJ75" s="71" t="n"/>
      <c r="BK75" s="71" t="n"/>
      <c r="BL75" s="71">
        <f>COUNTIF(F75:BK75,"P")</f>
        <v/>
      </c>
      <c r="BM75" s="71">
        <f>SUM((BL75/BL12)*100)</f>
        <v/>
      </c>
    </row>
    <row r="76" ht="21" customHeight="1" s="55">
      <c r="A76" s="73" t="n">
        <v>64</v>
      </c>
      <c r="B76" s="74" t="n">
        <v>2410433</v>
      </c>
      <c r="C76" s="75" t="n">
        <v>3122245002130</v>
      </c>
      <c r="D76" s="76" t="inlineStr">
        <is>
          <t>Yashwanth R</t>
        </is>
      </c>
      <c r="E76" s="76" t="inlineStr">
        <is>
          <t>yashwanth2410433@ssn.edu.in</t>
        </is>
      </c>
      <c r="F76" s="167" t="inlineStr">
        <is>
          <t>P</t>
        </is>
      </c>
      <c r="G76" s="82" t="inlineStr">
        <is>
          <t>A</t>
        </is>
      </c>
      <c r="H76" s="82" t="inlineStr">
        <is>
          <t>A</t>
        </is>
      </c>
      <c r="I76" s="82" t="inlineStr">
        <is>
          <t>P</t>
        </is>
      </c>
      <c r="J76" s="82" t="inlineStr">
        <is>
          <t>P</t>
        </is>
      </c>
      <c r="K76" s="82" t="inlineStr">
        <is>
          <t>P</t>
        </is>
      </c>
      <c r="L76" s="82" t="inlineStr">
        <is>
          <t>P</t>
        </is>
      </c>
      <c r="M76" s="82" t="inlineStr">
        <is>
          <t>P</t>
        </is>
      </c>
      <c r="N76" s="83" t="inlineStr">
        <is>
          <t>A</t>
        </is>
      </c>
      <c r="O76" s="83" t="inlineStr">
        <is>
          <t>P</t>
        </is>
      </c>
      <c r="P76" s="83" t="inlineStr">
        <is>
          <t>P</t>
        </is>
      </c>
      <c r="Q76" s="83" t="inlineStr">
        <is>
          <t>P</t>
        </is>
      </c>
      <c r="R76" s="83" t="inlineStr">
        <is>
          <t>P</t>
        </is>
      </c>
      <c r="S76" s="83" t="inlineStr">
        <is>
          <t>A</t>
        </is>
      </c>
      <c r="T76" s="83" t="inlineStr">
        <is>
          <t>A</t>
        </is>
      </c>
      <c r="U76" s="83" t="inlineStr">
        <is>
          <t>P</t>
        </is>
      </c>
      <c r="V76" s="83" t="inlineStr">
        <is>
          <t>P</t>
        </is>
      </c>
      <c r="W76" s="83" t="inlineStr">
        <is>
          <t>A</t>
        </is>
      </c>
      <c r="X76" s="83" t="inlineStr">
        <is>
          <t>P</t>
        </is>
      </c>
      <c r="Y76" s="165" t="n"/>
      <c r="Z76" s="81" t="n"/>
      <c r="AA76" s="81" t="n"/>
      <c r="AB76" s="81" t="n"/>
      <c r="AC76" s="8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1" t="n"/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 t="n"/>
      <c r="BJ76" s="71" t="n"/>
      <c r="BK76" s="71" t="n"/>
      <c r="BL76" s="71">
        <f>COUNTIF(F76:BK76,"P")</f>
        <v/>
      </c>
      <c r="BM76" s="71">
        <f>SUM((BL76/BL12)*100)</f>
        <v/>
      </c>
    </row>
    <row r="77" ht="21" customHeight="1" s="55">
      <c r="A77" s="73" t="n">
        <v>65</v>
      </c>
      <c r="B77" s="74" t="n">
        <v>2410096</v>
      </c>
      <c r="C77" s="75" t="n">
        <v>3122245002131</v>
      </c>
      <c r="D77" s="76" t="inlineStr">
        <is>
          <t>Yasmithasri B</t>
        </is>
      </c>
      <c r="E77" s="76" t="inlineStr">
        <is>
          <t>yasmithasri2410096@ssn.edu.in</t>
        </is>
      </c>
      <c r="F77" s="167" t="inlineStr">
        <is>
          <t>P</t>
        </is>
      </c>
      <c r="G77" s="82" t="inlineStr">
        <is>
          <t>P</t>
        </is>
      </c>
      <c r="H77" s="82" t="inlineStr">
        <is>
          <t>P</t>
        </is>
      </c>
      <c r="I77" s="82" t="inlineStr">
        <is>
          <t>P</t>
        </is>
      </c>
      <c r="J77" s="82" t="inlineStr">
        <is>
          <t>P</t>
        </is>
      </c>
      <c r="K77" s="82" t="inlineStr">
        <is>
          <t>P</t>
        </is>
      </c>
      <c r="L77" s="82" t="inlineStr">
        <is>
          <t>P</t>
        </is>
      </c>
      <c r="M77" s="82" t="inlineStr">
        <is>
          <t>P</t>
        </is>
      </c>
      <c r="N77" s="83" t="inlineStr">
        <is>
          <t>A</t>
        </is>
      </c>
      <c r="O77" s="83" t="inlineStr">
        <is>
          <t>P</t>
        </is>
      </c>
      <c r="P77" s="83" t="inlineStr">
        <is>
          <t>P</t>
        </is>
      </c>
      <c r="Q77" s="83" t="inlineStr">
        <is>
          <t>A</t>
        </is>
      </c>
      <c r="R77" s="83" t="inlineStr">
        <is>
          <t>P</t>
        </is>
      </c>
      <c r="S77" s="83" t="inlineStr">
        <is>
          <t>P</t>
        </is>
      </c>
      <c r="T77" s="83" t="inlineStr">
        <is>
          <t>P</t>
        </is>
      </c>
      <c r="U77" s="83" t="inlineStr">
        <is>
          <t>P</t>
        </is>
      </c>
      <c r="V77" s="83" t="inlineStr">
        <is>
          <t>P</t>
        </is>
      </c>
      <c r="W77" s="83" t="inlineStr">
        <is>
          <t>P</t>
        </is>
      </c>
      <c r="X77" s="83" t="inlineStr">
        <is>
          <t>A</t>
        </is>
      </c>
      <c r="Y77" s="165" t="n"/>
      <c r="Z77" s="81" t="n"/>
      <c r="AA77" s="81" t="n"/>
      <c r="AB77" s="81" t="n"/>
      <c r="AC77" s="8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1" t="n"/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 t="n"/>
      <c r="BJ77" s="71" t="n"/>
      <c r="BK77" s="71" t="n"/>
      <c r="BL77" s="71">
        <f>COUNTIF(F77:BK77,"P")</f>
        <v/>
      </c>
      <c r="BM77" s="71">
        <f>SUM((BL77/BL12)*100)</f>
        <v/>
      </c>
    </row>
    <row r="78" ht="21" customHeight="1" s="55">
      <c r="A78" s="73" t="n">
        <v>66</v>
      </c>
      <c r="B78" s="74" t="n">
        <v>2410990</v>
      </c>
      <c r="C78" s="75" t="n">
        <v>3122245002132</v>
      </c>
      <c r="D78" s="76" t="inlineStr">
        <is>
          <t>Yuvanitha A R</t>
        </is>
      </c>
      <c r="E78" s="76" t="inlineStr">
        <is>
          <t>yuvanitha2410990@ssn.edu.in</t>
        </is>
      </c>
      <c r="F78" s="167" t="inlineStr">
        <is>
          <t>P</t>
        </is>
      </c>
      <c r="G78" s="82" t="inlineStr">
        <is>
          <t>P</t>
        </is>
      </c>
      <c r="H78" s="82" t="inlineStr">
        <is>
          <t>P</t>
        </is>
      </c>
      <c r="I78" s="82" t="inlineStr">
        <is>
          <t>P</t>
        </is>
      </c>
      <c r="J78" s="82" t="inlineStr">
        <is>
          <t>P</t>
        </is>
      </c>
      <c r="K78" s="82" t="inlineStr">
        <is>
          <t>P</t>
        </is>
      </c>
      <c r="L78" s="82" t="inlineStr">
        <is>
          <t>P</t>
        </is>
      </c>
      <c r="M78" s="82" t="inlineStr">
        <is>
          <t>P</t>
        </is>
      </c>
      <c r="N78" s="83" t="inlineStr">
        <is>
          <t>A</t>
        </is>
      </c>
      <c r="O78" s="83" t="inlineStr">
        <is>
          <t>P</t>
        </is>
      </c>
      <c r="P78" s="83" t="inlineStr">
        <is>
          <t>P</t>
        </is>
      </c>
      <c r="Q78" s="83" t="inlineStr">
        <is>
          <t>A</t>
        </is>
      </c>
      <c r="R78" s="83" t="inlineStr">
        <is>
          <t>P</t>
        </is>
      </c>
      <c r="S78" s="83" t="inlineStr">
        <is>
          <t>P</t>
        </is>
      </c>
      <c r="T78" s="83" t="inlineStr">
        <is>
          <t>P</t>
        </is>
      </c>
      <c r="U78" s="83" t="inlineStr">
        <is>
          <t>P</t>
        </is>
      </c>
      <c r="V78" s="83" t="inlineStr">
        <is>
          <t>A</t>
        </is>
      </c>
      <c r="W78" s="83" t="inlineStr">
        <is>
          <t>P</t>
        </is>
      </c>
      <c r="X78" s="83" t="inlineStr">
        <is>
          <t>A</t>
        </is>
      </c>
      <c r="Y78" s="165" t="n"/>
      <c r="Z78" s="81" t="n"/>
      <c r="AA78" s="81" t="n"/>
      <c r="AB78" s="81" t="n"/>
      <c r="AC78" s="8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1" t="n"/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 t="n"/>
      <c r="BJ78" s="71" t="n"/>
      <c r="BK78" s="71" t="n"/>
      <c r="BL78" s="71">
        <f>COUNTIF(F78:BK78,"P")</f>
        <v/>
      </c>
      <c r="BM78" s="71">
        <f>SUM((BL78/BL12)*100)</f>
        <v/>
      </c>
    </row>
    <row r="79" ht="21" customHeight="1" s="55">
      <c r="A79" s="73" t="n">
        <v>67</v>
      </c>
      <c r="B79" s="74" t="n">
        <v>2412049</v>
      </c>
      <c r="C79" s="75" t="n">
        <v>3122245002304</v>
      </c>
      <c r="D79" s="76" t="inlineStr">
        <is>
          <t>Darshan S S</t>
        </is>
      </c>
      <c r="E79" s="76" t="inlineStr">
        <is>
          <t>darshan2412049@ssn.edu.in</t>
        </is>
      </c>
      <c r="F79" s="167" t="inlineStr">
        <is>
          <t>P</t>
        </is>
      </c>
      <c r="G79" s="82" t="inlineStr">
        <is>
          <t>A</t>
        </is>
      </c>
      <c r="H79" s="82" t="inlineStr">
        <is>
          <t>A</t>
        </is>
      </c>
      <c r="I79" s="82" t="inlineStr">
        <is>
          <t>P</t>
        </is>
      </c>
      <c r="J79" s="82" t="inlineStr">
        <is>
          <t>P</t>
        </is>
      </c>
      <c r="K79" s="82" t="inlineStr">
        <is>
          <t>A</t>
        </is>
      </c>
      <c r="L79" s="82" t="inlineStr">
        <is>
          <t>A</t>
        </is>
      </c>
      <c r="M79" s="82" t="inlineStr">
        <is>
          <t>A</t>
        </is>
      </c>
      <c r="N79" s="83" t="inlineStr">
        <is>
          <t>P</t>
        </is>
      </c>
      <c r="O79" s="83" t="inlineStr">
        <is>
          <t>P</t>
        </is>
      </c>
      <c r="P79" s="83" t="inlineStr">
        <is>
          <t>A</t>
        </is>
      </c>
      <c r="Q79" s="83" t="inlineStr">
        <is>
          <t>P</t>
        </is>
      </c>
      <c r="R79" s="83" t="inlineStr">
        <is>
          <t>P</t>
        </is>
      </c>
      <c r="S79" s="83" t="inlineStr">
        <is>
          <t>A</t>
        </is>
      </c>
      <c r="T79" s="83" t="inlineStr">
        <is>
          <t>A</t>
        </is>
      </c>
      <c r="U79" s="83" t="inlineStr">
        <is>
          <t>A</t>
        </is>
      </c>
      <c r="V79" s="83" t="inlineStr">
        <is>
          <t>P</t>
        </is>
      </c>
      <c r="W79" s="83" t="inlineStr">
        <is>
          <t>P</t>
        </is>
      </c>
      <c r="X79" s="83" t="inlineStr">
        <is>
          <t>A</t>
        </is>
      </c>
      <c r="Y79" s="165" t="n"/>
      <c r="Z79" s="81" t="n"/>
      <c r="AA79" s="81" t="n"/>
      <c r="AB79" s="81" t="n"/>
      <c r="AC79" s="8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 t="n"/>
      <c r="BJ79" s="71" t="n"/>
      <c r="BK79" s="71" t="n"/>
      <c r="BL79" s="71">
        <f>COUNTIF(F79:BK79,"P")</f>
        <v/>
      </c>
      <c r="BM79" s="71">
        <f>SUM((BL79/BL12)*100)</f>
        <v/>
      </c>
    </row>
    <row r="80" ht="21" customHeight="1" s="55">
      <c r="A80" s="73" t="n">
        <v>68</v>
      </c>
      <c r="B80" s="74" t="n">
        <v>2412046</v>
      </c>
      <c r="C80" s="75" t="n">
        <v>3122245002307</v>
      </c>
      <c r="D80" s="76" t="inlineStr">
        <is>
          <t>Manojkumar G</t>
        </is>
      </c>
      <c r="E80" s="76" t="inlineStr">
        <is>
          <t>manojkumar2412046@ssn.edu.in</t>
        </is>
      </c>
      <c r="F80" s="167" t="inlineStr">
        <is>
          <t>P</t>
        </is>
      </c>
      <c r="G80" s="82" t="inlineStr">
        <is>
          <t>P</t>
        </is>
      </c>
      <c r="H80" s="82" t="inlineStr">
        <is>
          <t>P</t>
        </is>
      </c>
      <c r="I80" s="82" t="inlineStr">
        <is>
          <t>P</t>
        </is>
      </c>
      <c r="J80" s="82" t="inlineStr">
        <is>
          <t>P</t>
        </is>
      </c>
      <c r="K80" s="82" t="inlineStr">
        <is>
          <t>P</t>
        </is>
      </c>
      <c r="L80" s="82" t="inlineStr">
        <is>
          <t>A</t>
        </is>
      </c>
      <c r="M80" s="82" t="inlineStr">
        <is>
          <t>A</t>
        </is>
      </c>
      <c r="N80" s="83" t="inlineStr">
        <is>
          <t>P</t>
        </is>
      </c>
      <c r="O80" s="83" t="inlineStr">
        <is>
          <t>A</t>
        </is>
      </c>
      <c r="P80" s="83" t="inlineStr">
        <is>
          <t>P</t>
        </is>
      </c>
      <c r="Q80" s="83" t="inlineStr">
        <is>
          <t>P</t>
        </is>
      </c>
      <c r="R80" s="83" t="inlineStr">
        <is>
          <t>P</t>
        </is>
      </c>
      <c r="S80" s="83" t="inlineStr">
        <is>
          <t>P</t>
        </is>
      </c>
      <c r="T80" s="83" t="inlineStr">
        <is>
          <t>A</t>
        </is>
      </c>
      <c r="U80" s="83" t="inlineStr">
        <is>
          <t>A</t>
        </is>
      </c>
      <c r="V80" s="83" t="inlineStr">
        <is>
          <t>P</t>
        </is>
      </c>
      <c r="W80" s="83" t="inlineStr">
        <is>
          <t>P</t>
        </is>
      </c>
      <c r="X80" s="83" t="inlineStr">
        <is>
          <t>P</t>
        </is>
      </c>
      <c r="Y80" s="165" t="n"/>
      <c r="Z80" s="81" t="n"/>
      <c r="AA80" s="81" t="n"/>
      <c r="AB80" s="81" t="n"/>
      <c r="AC80" s="8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 t="n"/>
      <c r="BJ80" s="71" t="n"/>
      <c r="BK80" s="71" t="n"/>
      <c r="BL80" s="71">
        <f>COUNTIF(F80:BK80,"P")</f>
        <v/>
      </c>
      <c r="BM80" s="71">
        <f>SUM((BL80/BL12)*100)</f>
        <v/>
      </c>
    </row>
    <row r="81" ht="21" customHeight="1" s="55">
      <c r="A81" s="73" t="n">
        <v>69</v>
      </c>
      <c r="B81" s="74" t="n">
        <v>2412010</v>
      </c>
      <c r="C81" s="75" t="n">
        <v>3122245002308</v>
      </c>
      <c r="D81" s="76" t="inlineStr">
        <is>
          <t>Rhea Jenifer P</t>
        </is>
      </c>
      <c r="E81" s="76" t="inlineStr">
        <is>
          <t>rheajenifer2412010@ssn.edu.in</t>
        </is>
      </c>
      <c r="F81" s="167" t="inlineStr">
        <is>
          <t>P</t>
        </is>
      </c>
      <c r="G81" s="86" t="inlineStr">
        <is>
          <t>P</t>
        </is>
      </c>
      <c r="H81" s="86" t="inlineStr">
        <is>
          <t>P</t>
        </is>
      </c>
      <c r="I81" s="86" t="inlineStr">
        <is>
          <t>P</t>
        </is>
      </c>
      <c r="J81" s="86" t="inlineStr">
        <is>
          <t>P</t>
        </is>
      </c>
      <c r="K81" s="86" t="inlineStr">
        <is>
          <t>P</t>
        </is>
      </c>
      <c r="L81" s="82" t="inlineStr">
        <is>
          <t>P</t>
        </is>
      </c>
      <c r="M81" s="82" t="inlineStr">
        <is>
          <t>P</t>
        </is>
      </c>
      <c r="N81" s="87" t="inlineStr">
        <is>
          <t>A</t>
        </is>
      </c>
      <c r="O81" s="87" t="inlineStr">
        <is>
          <t>A</t>
        </is>
      </c>
      <c r="P81" s="87" t="inlineStr">
        <is>
          <t>A</t>
        </is>
      </c>
      <c r="Q81" s="87" t="inlineStr">
        <is>
          <t>A</t>
        </is>
      </c>
      <c r="R81" s="87" t="inlineStr">
        <is>
          <t>P</t>
        </is>
      </c>
      <c r="S81" s="87" t="inlineStr">
        <is>
          <t>P</t>
        </is>
      </c>
      <c r="T81" s="83" t="inlineStr">
        <is>
          <t>A</t>
        </is>
      </c>
      <c r="U81" s="87" t="inlineStr">
        <is>
          <t>A</t>
        </is>
      </c>
      <c r="V81" s="83" t="inlineStr">
        <is>
          <t>P</t>
        </is>
      </c>
      <c r="W81" s="87" t="inlineStr">
        <is>
          <t>P</t>
        </is>
      </c>
      <c r="X81" s="87" t="inlineStr">
        <is>
          <t>A</t>
        </is>
      </c>
      <c r="Y81" s="165" t="n"/>
      <c r="Z81" s="81" t="n"/>
      <c r="AA81" s="81" t="n"/>
      <c r="AB81" s="81" t="n"/>
      <c r="AC81" s="81" t="n"/>
      <c r="AD81" s="88" t="n"/>
      <c r="AE81" s="88" t="n"/>
      <c r="AF81" s="88" t="n"/>
      <c r="AG81" s="88" t="n"/>
      <c r="AH81" s="88" t="n"/>
      <c r="AI81" s="88" t="n"/>
      <c r="AJ81" s="88" t="n"/>
      <c r="AK81" s="88" t="n"/>
      <c r="AL81" s="88" t="n"/>
      <c r="AM81" s="88" t="n"/>
      <c r="AN81" s="88" t="n"/>
      <c r="AO81" s="88" t="n"/>
      <c r="AP81" s="88" t="n"/>
      <c r="AQ81" s="88" t="n"/>
      <c r="AR81" s="88" t="n"/>
      <c r="AS81" s="88" t="n"/>
      <c r="AT81" s="88" t="n"/>
      <c r="AU81" s="88" t="n"/>
      <c r="AV81" s="88" t="n"/>
      <c r="AW81" s="88" t="n"/>
      <c r="AX81" s="88" t="n"/>
      <c r="AY81" s="88" t="n"/>
      <c r="AZ81" s="88" t="n"/>
      <c r="BA81" s="88" t="n"/>
      <c r="BB81" s="88" t="n"/>
      <c r="BC81" s="88" t="n"/>
      <c r="BD81" s="88" t="n"/>
      <c r="BE81" s="88" t="n"/>
      <c r="BF81" s="88" t="n"/>
      <c r="BG81" s="88" t="n"/>
      <c r="BH81" s="88" t="n"/>
      <c r="BI81" s="88" t="n"/>
      <c r="BJ81" s="88" t="n"/>
      <c r="BK81" s="88" t="n"/>
      <c r="BL81" s="88">
        <f>COUNTIF(F81:BK81,"P")</f>
        <v/>
      </c>
      <c r="BM81" s="88">
        <f>SUM((BL81/BL12)*100)</f>
        <v/>
      </c>
    </row>
    <row r="82" ht="21" customHeight="1" s="55">
      <c r="A82" s="73" t="n">
        <v>70</v>
      </c>
      <c r="B82" s="74" t="n">
        <v>2412073</v>
      </c>
      <c r="C82" s="75" t="n">
        <v>3122245002309</v>
      </c>
      <c r="D82" s="76" t="inlineStr">
        <is>
          <t>Sadhika T S</t>
        </is>
      </c>
      <c r="E82" s="76" t="inlineStr">
        <is>
          <t>sadhika2412073@ssn.edu.in</t>
        </is>
      </c>
      <c r="F82" s="167" t="inlineStr">
        <is>
          <t>P</t>
        </is>
      </c>
      <c r="G82" s="82" t="inlineStr">
        <is>
          <t>P</t>
        </is>
      </c>
      <c r="H82" s="82" t="inlineStr">
        <is>
          <t>A</t>
        </is>
      </c>
      <c r="I82" s="82" t="inlineStr">
        <is>
          <t>P</t>
        </is>
      </c>
      <c r="J82" s="82" t="inlineStr">
        <is>
          <t>P</t>
        </is>
      </c>
      <c r="K82" s="82" t="inlineStr">
        <is>
          <t>P</t>
        </is>
      </c>
      <c r="L82" s="82" t="inlineStr">
        <is>
          <t>P</t>
        </is>
      </c>
      <c r="M82" s="82" t="inlineStr">
        <is>
          <t>P</t>
        </is>
      </c>
      <c r="N82" s="83" t="inlineStr">
        <is>
          <t>A</t>
        </is>
      </c>
      <c r="O82" s="83" t="inlineStr">
        <is>
          <t>P</t>
        </is>
      </c>
      <c r="P82" s="83" t="inlineStr">
        <is>
          <t>P</t>
        </is>
      </c>
      <c r="Q82" s="83" t="inlineStr">
        <is>
          <t>P</t>
        </is>
      </c>
      <c r="R82" s="83" t="inlineStr">
        <is>
          <t>A</t>
        </is>
      </c>
      <c r="S82" s="83" t="inlineStr">
        <is>
          <t>P</t>
        </is>
      </c>
      <c r="T82" s="83" t="inlineStr">
        <is>
          <t>A</t>
        </is>
      </c>
      <c r="U82" s="83" t="inlineStr">
        <is>
          <t>A</t>
        </is>
      </c>
      <c r="V82" s="83" t="inlineStr">
        <is>
          <t>P</t>
        </is>
      </c>
      <c r="W82" s="83" t="inlineStr">
        <is>
          <t>P</t>
        </is>
      </c>
      <c r="X82" s="83" t="inlineStr">
        <is>
          <t>A</t>
        </is>
      </c>
      <c r="Y82" s="165" t="n"/>
      <c r="Z82" s="81" t="n"/>
      <c r="AA82" s="81" t="n"/>
      <c r="AB82" s="81" t="n"/>
      <c r="AC82" s="8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1" t="n"/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 t="n"/>
      <c r="BJ82" s="71" t="n"/>
      <c r="BK82" s="71" t="n"/>
      <c r="BL82" s="71">
        <f>COUNTIF(F82:BK82,"P")</f>
        <v/>
      </c>
      <c r="BM82" s="71">
        <f>SUM((BL82/BL12)*100)</f>
        <v/>
      </c>
    </row>
    <row r="83" ht="21" customHeight="1" s="55">
      <c r="A83" s="73" t="n">
        <v>71</v>
      </c>
      <c r="B83" s="74" t="n">
        <v>2412001</v>
      </c>
      <c r="C83" s="75" t="n">
        <v>3122245002310</v>
      </c>
      <c r="D83" s="76" t="inlineStr">
        <is>
          <t>Sundararajan R</t>
        </is>
      </c>
      <c r="E83" s="76" t="inlineStr">
        <is>
          <t>sundararajan2412001@ssn.edu.in</t>
        </is>
      </c>
      <c r="F83" s="167" t="inlineStr">
        <is>
          <t>P</t>
        </is>
      </c>
      <c r="G83" s="82" t="inlineStr">
        <is>
          <t>P</t>
        </is>
      </c>
      <c r="H83" s="82" t="inlineStr">
        <is>
          <t>P</t>
        </is>
      </c>
      <c r="I83" s="82" t="inlineStr">
        <is>
          <t>P</t>
        </is>
      </c>
      <c r="J83" s="82" t="inlineStr">
        <is>
          <t>P</t>
        </is>
      </c>
      <c r="K83" s="82" t="inlineStr">
        <is>
          <t>P</t>
        </is>
      </c>
      <c r="L83" s="82" t="inlineStr">
        <is>
          <t>P</t>
        </is>
      </c>
      <c r="M83" s="82" t="inlineStr">
        <is>
          <t>P</t>
        </is>
      </c>
      <c r="N83" s="83" t="inlineStr">
        <is>
          <t>P</t>
        </is>
      </c>
      <c r="O83" s="83" t="inlineStr">
        <is>
          <t>P</t>
        </is>
      </c>
      <c r="P83" s="83" t="inlineStr">
        <is>
          <t>P</t>
        </is>
      </c>
      <c r="Q83" s="83" t="inlineStr">
        <is>
          <t>P</t>
        </is>
      </c>
      <c r="R83" s="83" t="inlineStr">
        <is>
          <t>P</t>
        </is>
      </c>
      <c r="S83" s="83" t="inlineStr">
        <is>
          <t>P</t>
        </is>
      </c>
      <c r="T83" s="83" t="inlineStr">
        <is>
          <t>P</t>
        </is>
      </c>
      <c r="U83" s="83" t="inlineStr">
        <is>
          <t>P</t>
        </is>
      </c>
      <c r="V83" s="83" t="inlineStr">
        <is>
          <t>P</t>
        </is>
      </c>
      <c r="W83" s="83" t="inlineStr">
        <is>
          <t>P</t>
        </is>
      </c>
      <c r="X83" s="83" t="inlineStr">
        <is>
          <t>P</t>
        </is>
      </c>
      <c r="Y83" s="165" t="n"/>
      <c r="Z83" s="81" t="n"/>
      <c r="AA83" s="81" t="n"/>
      <c r="AB83" s="81" t="n"/>
      <c r="AC83" s="8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1" t="n"/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  <c r="BJ83" s="71" t="n"/>
      <c r="BK83" s="71" t="n"/>
      <c r="BL83" s="71" t="n"/>
      <c r="BM83" s="71" t="n"/>
    </row>
    <row r="84" ht="12.75" customHeight="1" s="55">
      <c r="B84" s="77" t="n"/>
      <c r="C84" s="77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</row>
    <row r="85" ht="12.75" customHeight="1" s="55">
      <c r="B85" s="77" t="n"/>
      <c r="C85" s="77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</row>
    <row r="86" ht="12.75" customHeight="1" s="55">
      <c r="B86" s="77" t="n"/>
      <c r="C86" s="77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</row>
    <row r="87" ht="12.75" customHeight="1" s="55">
      <c r="B87" s="77" t="n"/>
      <c r="C87" s="77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</row>
    <row r="88" ht="12.75" customHeight="1" s="55">
      <c r="B88" s="77" t="n"/>
      <c r="C88" s="77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</row>
    <row r="89" ht="12.75" customHeight="1" s="55">
      <c r="B89" s="77" t="n"/>
      <c r="C89" s="77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</row>
    <row r="90" ht="12.75" customHeight="1" s="55">
      <c r="B90" s="77" t="n"/>
      <c r="C90" s="77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</row>
    <row r="91" ht="39" customHeight="1" s="55">
      <c r="B91" s="77" t="n"/>
      <c r="C91" s="77" t="n"/>
      <c r="E91" s="71" t="inlineStr">
        <is>
          <t>Total No. of Students</t>
        </is>
      </c>
      <c r="F91" s="168" t="n">
        <v>71</v>
      </c>
      <c r="G91" s="71" t="n">
        <v>71</v>
      </c>
      <c r="H91" s="71" t="n">
        <v>71</v>
      </c>
      <c r="I91" s="71" t="n">
        <v>71</v>
      </c>
      <c r="J91" s="71" t="n">
        <v>71</v>
      </c>
      <c r="K91" s="71" t="n">
        <v>71</v>
      </c>
      <c r="L91" s="71" t="n">
        <v>71</v>
      </c>
      <c r="M91" s="71" t="n">
        <v>71</v>
      </c>
      <c r="N91" s="71" t="n">
        <v>71</v>
      </c>
      <c r="O91" s="71" t="n">
        <v>71</v>
      </c>
      <c r="P91" s="71" t="n">
        <v>71</v>
      </c>
      <c r="Q91" s="71" t="n">
        <v>71</v>
      </c>
      <c r="R91" s="71" t="n">
        <v>71</v>
      </c>
      <c r="S91" s="71" t="n">
        <v>71</v>
      </c>
      <c r="T91" s="71" t="n">
        <v>71</v>
      </c>
      <c r="U91" s="71" t="n">
        <v>71</v>
      </c>
      <c r="V91" s="71" t="n">
        <v>71</v>
      </c>
      <c r="W91" s="71" t="n">
        <v>71</v>
      </c>
      <c r="X91" s="71" t="n">
        <v>71</v>
      </c>
      <c r="Y91" s="166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  <c r="BK91" s="71" t="n"/>
      <c r="BL91" s="71" t="n"/>
      <c r="BM91" s="71" t="n"/>
    </row>
    <row r="92" ht="39" customHeight="1" s="55">
      <c r="B92" s="77" t="n"/>
      <c r="C92" s="77" t="n"/>
      <c r="E92" s="71" t="inlineStr">
        <is>
          <t>Total No. of Presentees</t>
        </is>
      </c>
      <c r="F92" s="168">
        <f>COUNTIF(F13:F83,"P")</f>
        <v/>
      </c>
      <c r="G92" s="71">
        <f>COUNTIF(G13:G83,"P")</f>
        <v/>
      </c>
      <c r="H92" s="71">
        <f>COUNTIF(H13:H83,"P")</f>
        <v/>
      </c>
      <c r="I92" s="71">
        <f>COUNTIF(I13:I83,"P")</f>
        <v/>
      </c>
      <c r="J92" s="71">
        <f>COUNTIF(J13:J83,"P")</f>
        <v/>
      </c>
      <c r="K92" s="71">
        <f>COUNTIF(K13:K83,"P")</f>
        <v/>
      </c>
      <c r="L92" s="71">
        <f>COUNTIF(L13:L83,"P")</f>
        <v/>
      </c>
      <c r="M92" s="71">
        <f>COUNTIF(M13:M83,"P")</f>
        <v/>
      </c>
      <c r="N92" s="71">
        <f>COUNTIF(N13:N83,"P")</f>
        <v/>
      </c>
      <c r="O92" s="71">
        <f>COUNTIF(O13:O83,"P")</f>
        <v/>
      </c>
      <c r="P92" s="71">
        <f>COUNTIF(P13:P83,"P")</f>
        <v/>
      </c>
      <c r="Q92" s="71">
        <f>COUNTIF(Q13:Q83,"P")</f>
        <v/>
      </c>
      <c r="R92" s="71">
        <f>COUNTIF(R13:R83,"P")</f>
        <v/>
      </c>
      <c r="S92" s="71">
        <f>COUNTIF(S13:S83,"P")</f>
        <v/>
      </c>
      <c r="T92" s="71">
        <f>COUNTIF(T13:T83,"P")</f>
        <v/>
      </c>
      <c r="U92" s="71">
        <f>COUNTIF(U13:U83,"P")</f>
        <v/>
      </c>
      <c r="V92" s="71">
        <f>COUNTIF(V13:V83,"P")</f>
        <v/>
      </c>
      <c r="W92" s="71">
        <f>COUNTIF(W13:W83,"P")</f>
        <v/>
      </c>
      <c r="X92" s="71">
        <f>COUNTIF(X13:X83,"P")</f>
        <v/>
      </c>
      <c r="Y92" s="166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  <c r="BK92" s="71" t="n"/>
      <c r="BL92" s="71" t="n"/>
      <c r="BM92" s="71" t="n"/>
    </row>
    <row r="93" ht="39" customHeight="1" s="55">
      <c r="B93" s="77" t="n"/>
      <c r="C93" s="77" t="n"/>
      <c r="E93" s="71" t="inlineStr">
        <is>
          <t>Total No. of Absentees</t>
        </is>
      </c>
      <c r="F93" s="168">
        <f>COUNTIF(F13:F83,"A")</f>
        <v/>
      </c>
      <c r="G93" s="71">
        <f>COUNTIF(G13:G83,"A")</f>
        <v/>
      </c>
      <c r="H93" s="71">
        <f>COUNTIF(H13:H83,"A")</f>
        <v/>
      </c>
      <c r="I93" s="71">
        <f>COUNTIF(I13:I83,"A")</f>
        <v/>
      </c>
      <c r="J93" s="71">
        <f>COUNTIF(J13:J83,"A")</f>
        <v/>
      </c>
      <c r="K93" s="71">
        <f>COUNTIF(K13:K83,"A")</f>
        <v/>
      </c>
      <c r="L93" s="71">
        <f>COUNTIF(L13:L83,"A")</f>
        <v/>
      </c>
      <c r="M93" s="71">
        <f>COUNTIF(M13:M83,"A")</f>
        <v/>
      </c>
      <c r="N93" s="71">
        <f>COUNTIF(N13:N83,"A")</f>
        <v/>
      </c>
      <c r="O93" s="71">
        <f>COUNTIF(O13:O83,"A")</f>
        <v/>
      </c>
      <c r="P93" s="71">
        <f>COUNTIF(P13:P83,"A")</f>
        <v/>
      </c>
      <c r="Q93" s="71">
        <f>COUNTIF(Q13:Q83,"A")</f>
        <v/>
      </c>
      <c r="R93" s="71">
        <f>COUNTIF(R13:R83,"A")</f>
        <v/>
      </c>
      <c r="S93" s="71">
        <f>COUNTIF(S13:S83,"A")</f>
        <v/>
      </c>
      <c r="T93" s="71">
        <f>COUNTIF(T13:T83,"A")</f>
        <v/>
      </c>
      <c r="U93" s="71">
        <f>COUNTIF(U13:U83,"A")</f>
        <v/>
      </c>
      <c r="V93" s="71">
        <f>COUNTIF(V13:V83,"A")</f>
        <v/>
      </c>
      <c r="W93" s="71">
        <f>COUNTIF(W13:W83,"A")</f>
        <v/>
      </c>
      <c r="X93" s="71">
        <f>COUNTIF(X13:X83,"A")</f>
        <v/>
      </c>
      <c r="Y93" s="166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  <c r="BK93" s="71" t="n"/>
      <c r="BL93" s="71" t="n"/>
      <c r="BM93" s="71" t="n"/>
    </row>
    <row r="94" ht="39" customHeight="1" s="55">
      <c r="B94" s="77" t="n"/>
      <c r="C94" s="77" t="n"/>
      <c r="E94" s="71" t="inlineStr">
        <is>
          <t>Presentees Percentage</t>
        </is>
      </c>
      <c r="F94" s="168">
        <f>SUM((F92/F91)*100)</f>
        <v/>
      </c>
      <c r="G94" s="71">
        <f>SUM((G92/G91)*100)</f>
        <v/>
      </c>
      <c r="H94" s="71">
        <f>SUM((H92/H91)*100)</f>
        <v/>
      </c>
      <c r="I94" s="71">
        <f>SUM((I92/I91)*100)</f>
        <v/>
      </c>
      <c r="J94" s="71">
        <f>SUM((J92/J91)*100)</f>
        <v/>
      </c>
      <c r="K94" s="71">
        <f>SUM((K92/K91)*100)</f>
        <v/>
      </c>
      <c r="L94" s="71">
        <f>SUM((L92/L91)*100)</f>
        <v/>
      </c>
      <c r="M94" s="71">
        <f>SUM((M92/M91)*100)</f>
        <v/>
      </c>
      <c r="N94" s="71">
        <f>SUM((N92/N91)*100)</f>
        <v/>
      </c>
      <c r="O94" s="71">
        <f>SUM((O92/O91)*100)</f>
        <v/>
      </c>
      <c r="P94" s="71">
        <f>SUM((P92/P91)*100)</f>
        <v/>
      </c>
      <c r="Q94" s="71">
        <f>SUM((Q92/Q91)*100)</f>
        <v/>
      </c>
      <c r="R94" s="71">
        <f>SUM((R92/R91)*100)</f>
        <v/>
      </c>
      <c r="S94" s="71">
        <f>SUM((S92/S91)*100)</f>
        <v/>
      </c>
      <c r="T94" s="71">
        <f>SUM((T92/T91)*100)</f>
        <v/>
      </c>
      <c r="U94" s="71">
        <f>SUM((U92/U91)*100)</f>
        <v/>
      </c>
      <c r="V94" s="71">
        <f>SUM((V92/V91)*100)</f>
        <v/>
      </c>
      <c r="W94" s="71">
        <f>SUM((W92/W91)*100)</f>
        <v/>
      </c>
      <c r="X94" s="71">
        <f>SUM((X92/X91)*100)</f>
        <v/>
      </c>
      <c r="Y94" s="166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1" t="n"/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  <c r="BJ94" s="71" t="n"/>
      <c r="BK94" s="71" t="n"/>
      <c r="BL94" s="71" t="n"/>
      <c r="BM94" s="71" t="n"/>
    </row>
    <row r="95" ht="39" customHeight="1" s="55">
      <c r="B95" s="77" t="n"/>
      <c r="C95" s="77" t="n"/>
      <c r="E95" s="71" t="inlineStr">
        <is>
          <t>Absentees Percentage</t>
        </is>
      </c>
      <c r="F95" s="168">
        <f>SUM((F93/F91)*100)</f>
        <v/>
      </c>
      <c r="G95" s="71">
        <f>SUM((G93/G91)*100)</f>
        <v/>
      </c>
      <c r="H95" s="71">
        <f>SUM((H93/H91)*100)</f>
        <v/>
      </c>
      <c r="I95" s="71">
        <f>SUM((I93/I91)*100)</f>
        <v/>
      </c>
      <c r="J95" s="71">
        <f>SUM((J93/J91)*100)</f>
        <v/>
      </c>
      <c r="K95" s="71">
        <f>SUM((K93/K91)*100)</f>
        <v/>
      </c>
      <c r="L95" s="71">
        <f>SUM((L93/L91)*100)</f>
        <v/>
      </c>
      <c r="M95" s="71">
        <f>SUM((M93/M91)*100)</f>
        <v/>
      </c>
      <c r="N95" s="71">
        <f>SUM((N93/N91)*100)</f>
        <v/>
      </c>
      <c r="O95" s="71">
        <f>SUM((O93/O91)*100)</f>
        <v/>
      </c>
      <c r="P95" s="71">
        <f>SUM((P93/P91)*100)</f>
        <v/>
      </c>
      <c r="Q95" s="71">
        <f>SUM((Q93/Q91)*100)</f>
        <v/>
      </c>
      <c r="R95" s="71">
        <f>SUM((R93/R91)*100)</f>
        <v/>
      </c>
      <c r="S95" s="71">
        <f>SUM((S93/S91)*100)</f>
        <v/>
      </c>
      <c r="T95" s="71">
        <f>SUM((T93/T91)*100)</f>
        <v/>
      </c>
      <c r="U95" s="71">
        <f>SUM((U93/U91)*100)</f>
        <v/>
      </c>
      <c r="V95" s="71">
        <f>SUM((V93/V91)*100)</f>
        <v/>
      </c>
      <c r="W95" s="71">
        <f>SUM((W93/W91)*100)</f>
        <v/>
      </c>
      <c r="X95" s="71">
        <f>SUM((X93/X91)*100)</f>
        <v/>
      </c>
      <c r="Y95" s="166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  <c r="BJ95" s="71" t="n"/>
      <c r="BK95" s="71" t="n"/>
      <c r="BL95" s="71" t="n"/>
      <c r="BM95" s="71" t="n"/>
    </row>
    <row r="96" ht="12.75" customHeight="1" s="55">
      <c r="B96" s="77" t="n"/>
      <c r="C96" s="77" t="n"/>
    </row>
    <row r="97" ht="12.75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2">
    <mergeCell ref="A7:I7"/>
    <mergeCell ref="A3:BA3"/>
    <mergeCell ref="A8:D8"/>
    <mergeCell ref="A2:BA2"/>
    <mergeCell ref="B11:B12"/>
    <mergeCell ref="C11:C12"/>
    <mergeCell ref="D11:D12"/>
    <mergeCell ref="A1:BA1"/>
    <mergeCell ref="E11:E12"/>
    <mergeCell ref="F11:BK11"/>
    <mergeCell ref="F10:O10"/>
    <mergeCell ref="A11:A12"/>
  </mergeCells>
  <conditionalFormatting sqref="B13:B83">
    <cfRule type="expression" rank="0" priority="2" equalAverage="0" aboveAverage="0" dxfId="0" text="" percent="0" bottom="0">
      <formula>AND(COUNTIF($B$10:$B$22,B13)+COUNTIF($B$24:$B$62,B13)&gt;1,NOT(ISBLANK(B13)))</formula>
    </cfRule>
  </conditionalFormatting>
  <hyperlinks>
    <hyperlink xmlns:r="http://schemas.openxmlformats.org/officeDocument/2006/relationships" ref="AX7" display="ug2024-it@ssn.edu.in 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8" customWidth="1" style="54" min="6" max="62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ATTENDANCE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  <c r="AV5" s="60" t="inlineStr">
        <is>
          <t>Batch : 2024-28</t>
        </is>
      </c>
    </row>
    <row r="6" ht="10.5" customHeight="1" s="55">
      <c r="A6" s="58" t="n"/>
      <c r="B6" s="59" t="n"/>
      <c r="C6" s="59" t="n"/>
    </row>
    <row r="7" ht="28.5" customHeight="1" s="55">
      <c r="A7" s="61" t="inlineStr">
        <is>
          <t>Sub Code &amp; Sub Name : UIT3563 - Deep Learning Concepts and Architectures</t>
        </is>
      </c>
      <c r="AU7" s="62" t="inlineStr">
        <is>
          <t xml:space="preserve">ug2024-it@ssn.edu.in </t>
        </is>
      </c>
    </row>
    <row r="8" ht="30.75" customHeight="1" s="55">
      <c r="A8" s="61" t="inlineStr">
        <is>
          <t>Staff Name : Dr. Nepoleon Keisham</t>
        </is>
      </c>
      <c r="E8" s="64" t="n"/>
    </row>
    <row r="9" ht="30.75" customHeight="1" s="55">
      <c r="A9" s="61" t="n"/>
      <c r="B9" s="61" t="n"/>
      <c r="C9" s="61" t="n"/>
      <c r="D9" s="61" t="n"/>
      <c r="E9" s="64" t="n"/>
    </row>
    <row r="10" ht="30.75" customHeight="1" s="55">
      <c r="A10" s="61" t="n"/>
      <c r="B10" s="61" t="n"/>
      <c r="C10" s="61" t="n"/>
      <c r="D10" s="61" t="n"/>
      <c r="E10" s="64" t="n"/>
      <c r="F10" s="65" t="inlineStr">
        <is>
          <t>Mark  "P" for presentees , "A" for absentees</t>
        </is>
      </c>
      <c r="G10" s="66" t="n"/>
      <c r="H10" s="66" t="n"/>
      <c r="I10" s="66" t="n"/>
      <c r="J10" s="66" t="n"/>
      <c r="K10" s="66" t="n"/>
      <c r="L10" s="66" t="n"/>
      <c r="M10" s="66" t="n"/>
      <c r="N10" s="66" t="n"/>
    </row>
    <row r="11" ht="31.5" customHeight="1" s="55">
      <c r="A11" s="67" t="inlineStr">
        <is>
          <t>S.No</t>
        </is>
      </c>
      <c r="B11" s="67" t="inlineStr">
        <is>
          <t>Digital Id</t>
        </is>
      </c>
      <c r="C11" s="67" t="inlineStr">
        <is>
          <t>Register Number</t>
        </is>
      </c>
      <c r="D11" s="67" t="inlineStr">
        <is>
          <t>Name as per 12th Mark Sheet</t>
        </is>
      </c>
      <c r="E11" s="67" t="inlineStr">
        <is>
          <t>SSN Email ID</t>
        </is>
      </c>
      <c r="F11" s="68" t="inlineStr">
        <is>
          <t>Date</t>
        </is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  <c r="AX11" s="69" t="n"/>
      <c r="AY11" s="69" t="n"/>
      <c r="AZ11" s="69" t="n"/>
      <c r="BA11" s="69" t="n"/>
      <c r="BB11" s="69" t="n"/>
      <c r="BC11" s="69" t="n"/>
      <c r="BD11" s="69" t="n"/>
      <c r="BE11" s="69" t="n"/>
      <c r="BF11" s="69" t="n"/>
      <c r="BG11" s="69" t="n"/>
      <c r="BH11" s="70" t="n"/>
      <c r="BI11" s="71" t="n"/>
      <c r="BJ11" s="71" t="n"/>
    </row>
    <row r="12" ht="21" customHeight="1" s="55">
      <c r="A12" s="72" t="n"/>
      <c r="B12" s="72" t="n"/>
      <c r="C12" s="72" t="n"/>
      <c r="D12" s="72" t="n"/>
      <c r="E12" s="72" t="n"/>
      <c r="F12" s="91" t="inlineStr">
        <is>
          <t>22/06/26
I&amp;II hr</t>
        </is>
      </c>
      <c r="G12" s="91" t="inlineStr">
        <is>
          <t>29/06/26
IIhr</t>
        </is>
      </c>
      <c r="H12" s="91" t="inlineStr">
        <is>
          <t>1/7/26
Ihr</t>
        </is>
      </c>
      <c r="I12" s="91" t="inlineStr">
        <is>
          <t xml:space="preserve">6/7/2026
Ihr &amp; II hr
</t>
        </is>
      </c>
      <c r="J12" s="91" t="inlineStr">
        <is>
          <t>15/7/26
Ihr</t>
        </is>
      </c>
      <c r="K12" s="91" t="inlineStr">
        <is>
          <t>20/7/26
IIhr</t>
        </is>
      </c>
      <c r="L12" s="91" t="inlineStr">
        <is>
          <t>22/7/26
Ihr</t>
        </is>
      </c>
      <c r="M12" s="91" t="inlineStr">
        <is>
          <t>29/7/26
1 hr</t>
        </is>
      </c>
      <c r="N12" s="91" t="inlineStr">
        <is>
          <t>3/8/26
II hr</t>
        </is>
      </c>
      <c r="O12" s="91" t="inlineStr">
        <is>
          <t>12/08/26
I hr</t>
        </is>
      </c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>
        <f>COUNTA(F12:BH12)</f>
        <v/>
      </c>
      <c r="BJ12" s="71" t="n"/>
    </row>
    <row r="13" ht="21" customHeight="1" s="55">
      <c r="A13" s="73" t="n">
        <v>1</v>
      </c>
      <c r="B13" s="74" t="n">
        <v>2410606</v>
      </c>
      <c r="C13" s="75" t="n">
        <v>3122245002067</v>
      </c>
      <c r="D13" s="76" t="inlineStr">
        <is>
          <t>Pragalya T</t>
        </is>
      </c>
      <c r="E13" s="76" t="inlineStr">
        <is>
          <t>pragalya2410606@ssn.edu.in</t>
        </is>
      </c>
      <c r="F13" s="71" t="inlineStr">
        <is>
          <t>P</t>
        </is>
      </c>
      <c r="G13" s="71" t="inlineStr">
        <is>
          <t>P</t>
        </is>
      </c>
      <c r="H13" s="71" t="inlineStr">
        <is>
          <t>P</t>
        </is>
      </c>
      <c r="I13" s="71" t="inlineStr">
        <is>
          <t>P</t>
        </is>
      </c>
      <c r="J13" s="71" t="inlineStr">
        <is>
          <t>P</t>
        </is>
      </c>
      <c r="K13" s="71" t="inlineStr">
        <is>
          <t>A</t>
        </is>
      </c>
      <c r="L13" s="71" t="inlineStr">
        <is>
          <t>P</t>
        </is>
      </c>
      <c r="M13" s="71" t="inlineStr">
        <is>
          <t>P</t>
        </is>
      </c>
      <c r="N13" s="71" t="inlineStr">
        <is>
          <t>A</t>
        </is>
      </c>
      <c r="O13" s="71" t="inlineStr">
        <is>
          <t>A</t>
        </is>
      </c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1" t="n"/>
      <c r="BF13" s="71" t="n"/>
      <c r="BG13" s="71" t="n"/>
      <c r="BH13" s="71" t="n"/>
      <c r="BI13" s="71">
        <f>COUNTIF(F13:BH13,"P")</f>
        <v/>
      </c>
      <c r="BJ13" s="71">
        <f>SUM((BI13/BI12)*100)</f>
        <v/>
      </c>
    </row>
    <row r="14" ht="21" customHeight="1" s="55">
      <c r="A14" s="73" t="n">
        <v>2</v>
      </c>
      <c r="B14" s="74" t="n">
        <v>2410674</v>
      </c>
      <c r="C14" s="75" t="n">
        <v>3122245002068</v>
      </c>
      <c r="D14" s="76" t="inlineStr">
        <is>
          <t>Praghathish G T</t>
        </is>
      </c>
      <c r="E14" s="76" t="inlineStr">
        <is>
          <t>praghathish2410674@ssn.edu.in</t>
        </is>
      </c>
      <c r="F14" s="71" t="inlineStr">
        <is>
          <t>P</t>
        </is>
      </c>
      <c r="G14" s="71" t="inlineStr">
        <is>
          <t>P</t>
        </is>
      </c>
      <c r="H14" s="71" t="inlineStr">
        <is>
          <t>P</t>
        </is>
      </c>
      <c r="I14" s="71" t="inlineStr">
        <is>
          <t>A</t>
        </is>
      </c>
      <c r="J14" s="71" t="inlineStr">
        <is>
          <t>A</t>
        </is>
      </c>
      <c r="K14" s="71" t="inlineStr">
        <is>
          <t>A</t>
        </is>
      </c>
      <c r="L14" s="71" t="inlineStr">
        <is>
          <t>A</t>
        </is>
      </c>
      <c r="M14" s="71" t="inlineStr">
        <is>
          <t>P</t>
        </is>
      </c>
      <c r="N14" s="71" t="inlineStr">
        <is>
          <t>P</t>
        </is>
      </c>
      <c r="O14" s="71" t="inlineStr">
        <is>
          <t>A</t>
        </is>
      </c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1" t="n"/>
      <c r="BF14" s="71" t="n"/>
      <c r="BG14" s="71" t="n"/>
      <c r="BH14" s="71" t="n"/>
      <c r="BI14" s="71">
        <f>COUNTIF(F14:BH14,"P")</f>
        <v/>
      </c>
      <c r="BJ14" s="71">
        <f>SUM((BI14/BI12)*100)</f>
        <v/>
      </c>
    </row>
    <row r="15" ht="21" customHeight="1" s="55">
      <c r="A15" s="73" t="n">
        <v>3</v>
      </c>
      <c r="B15" s="74" t="n">
        <v>2410080</v>
      </c>
      <c r="C15" s="75" t="n">
        <v>3122245002069</v>
      </c>
      <c r="D15" s="76" t="inlineStr">
        <is>
          <t>Pranav C K</t>
        </is>
      </c>
      <c r="E15" s="76" t="inlineStr">
        <is>
          <t>pranav2410080@ssn.edu.in</t>
        </is>
      </c>
      <c r="F15" s="71" t="inlineStr">
        <is>
          <t>P</t>
        </is>
      </c>
      <c r="G15" s="71" t="inlineStr">
        <is>
          <t>A</t>
        </is>
      </c>
      <c r="H15" s="71" t="inlineStr">
        <is>
          <t>A</t>
        </is>
      </c>
      <c r="I15" s="71" t="inlineStr">
        <is>
          <t>A</t>
        </is>
      </c>
      <c r="J15" s="71" t="inlineStr">
        <is>
          <t>A</t>
        </is>
      </c>
      <c r="K15" s="71" t="inlineStr">
        <is>
          <t>A</t>
        </is>
      </c>
      <c r="L15" s="71" t="inlineStr">
        <is>
          <t>A</t>
        </is>
      </c>
      <c r="M15" s="71" t="inlineStr">
        <is>
          <t>P</t>
        </is>
      </c>
      <c r="N15" s="71" t="inlineStr">
        <is>
          <t>A</t>
        </is>
      </c>
      <c r="O15" s="71" t="inlineStr">
        <is>
          <t>A</t>
        </is>
      </c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1" t="n"/>
      <c r="BF15" s="71" t="n"/>
      <c r="BG15" s="71" t="n"/>
      <c r="BH15" s="71" t="n"/>
      <c r="BI15" s="71">
        <f>COUNTIF(F15:BH15,"P")</f>
        <v/>
      </c>
      <c r="BJ15" s="71">
        <f>SUM((BI15/BI12)*100)</f>
        <v/>
      </c>
    </row>
    <row r="16" ht="21" customHeight="1" s="55">
      <c r="A16" s="73" t="n">
        <v>4</v>
      </c>
      <c r="B16" s="74" t="n">
        <v>2410328</v>
      </c>
      <c r="C16" s="75" t="n">
        <v>3122245002070</v>
      </c>
      <c r="D16" s="76" t="inlineStr">
        <is>
          <t>Pranav Vasudevan</t>
        </is>
      </c>
      <c r="E16" s="76" t="inlineStr">
        <is>
          <t>pranav2410328@ssn.edu.in</t>
        </is>
      </c>
      <c r="F16" s="71" t="inlineStr">
        <is>
          <t>A</t>
        </is>
      </c>
      <c r="G16" s="71" t="inlineStr">
        <is>
          <t>A</t>
        </is>
      </c>
      <c r="H16" s="71" t="inlineStr">
        <is>
          <t>P</t>
        </is>
      </c>
      <c r="I16" s="71" t="inlineStr">
        <is>
          <t>A</t>
        </is>
      </c>
      <c r="J16" s="71" t="inlineStr">
        <is>
          <t>P</t>
        </is>
      </c>
      <c r="K16" s="71" t="inlineStr">
        <is>
          <t>A</t>
        </is>
      </c>
      <c r="L16" s="71" t="inlineStr">
        <is>
          <t>P</t>
        </is>
      </c>
      <c r="M16" s="71" t="inlineStr">
        <is>
          <t>P</t>
        </is>
      </c>
      <c r="N16" s="71" t="inlineStr">
        <is>
          <t>A</t>
        </is>
      </c>
      <c r="O16" s="71" t="inlineStr">
        <is>
          <t>A</t>
        </is>
      </c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1" t="n"/>
      <c r="BF16" s="71" t="n"/>
      <c r="BG16" s="71" t="n"/>
      <c r="BH16" s="71" t="n"/>
      <c r="BI16" s="71">
        <f>COUNTIF(F16:BH16,"P")</f>
        <v/>
      </c>
      <c r="BJ16" s="71">
        <f>SUM((BI16/BI12)*100)</f>
        <v/>
      </c>
    </row>
    <row r="17" ht="21" customHeight="1" s="55">
      <c r="A17" s="73" t="n">
        <v>5</v>
      </c>
      <c r="B17" s="74" t="n">
        <v>2410738</v>
      </c>
      <c r="C17" s="75" t="n">
        <v>3122245002071</v>
      </c>
      <c r="D17" s="76" t="inlineStr">
        <is>
          <t>Radhakrishnan M</t>
        </is>
      </c>
      <c r="E17" s="76" t="inlineStr">
        <is>
          <t>radhakrishnan2410738@ssn.edu.in</t>
        </is>
      </c>
      <c r="F17" s="71" t="inlineStr">
        <is>
          <t>P</t>
        </is>
      </c>
      <c r="G17" s="71" t="inlineStr">
        <is>
          <t>P</t>
        </is>
      </c>
      <c r="H17" s="71" t="inlineStr">
        <is>
          <t>A</t>
        </is>
      </c>
      <c r="I17" s="71" t="inlineStr">
        <is>
          <t>P</t>
        </is>
      </c>
      <c r="J17" s="71" t="inlineStr">
        <is>
          <t>P</t>
        </is>
      </c>
      <c r="K17" s="71" t="inlineStr">
        <is>
          <t>A</t>
        </is>
      </c>
      <c r="L17" s="71" t="inlineStr">
        <is>
          <t>P</t>
        </is>
      </c>
      <c r="M17" s="71" t="inlineStr">
        <is>
          <t>A</t>
        </is>
      </c>
      <c r="N17" s="71" t="inlineStr">
        <is>
          <t>A</t>
        </is>
      </c>
      <c r="O17" s="71" t="inlineStr">
        <is>
          <t>A</t>
        </is>
      </c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1" t="n"/>
      <c r="BF17" s="71" t="n"/>
      <c r="BG17" s="71" t="n"/>
      <c r="BH17" s="71" t="n"/>
      <c r="BI17" s="71">
        <f>COUNTIF(F17:BH17,"P")</f>
        <v/>
      </c>
      <c r="BJ17" s="71">
        <f>SUM((BI17/BI12)*100)</f>
        <v/>
      </c>
    </row>
    <row r="18" ht="21" customHeight="1" s="55">
      <c r="A18" s="73" t="n">
        <v>6</v>
      </c>
      <c r="B18" s="74" t="n">
        <v>2410786</v>
      </c>
      <c r="C18" s="75" t="n">
        <v>3122245002072</v>
      </c>
      <c r="D18" s="76" t="inlineStr">
        <is>
          <t>Raghul Krishna V</t>
        </is>
      </c>
      <c r="E18" s="76" t="inlineStr">
        <is>
          <t>raghulkrishna2410786@ssn.edu.in</t>
        </is>
      </c>
      <c r="F18" s="71" t="inlineStr">
        <is>
          <t>P</t>
        </is>
      </c>
      <c r="G18" s="71" t="inlineStr">
        <is>
          <t>P</t>
        </is>
      </c>
      <c r="H18" s="71" t="inlineStr">
        <is>
          <t>P</t>
        </is>
      </c>
      <c r="I18" s="71" t="inlineStr">
        <is>
          <t>P</t>
        </is>
      </c>
      <c r="J18" s="71" t="inlineStr">
        <is>
          <t>A</t>
        </is>
      </c>
      <c r="K18" s="71" t="inlineStr">
        <is>
          <t>A</t>
        </is>
      </c>
      <c r="L18" s="71" t="inlineStr">
        <is>
          <t>P</t>
        </is>
      </c>
      <c r="M18" s="71" t="inlineStr">
        <is>
          <t>P</t>
        </is>
      </c>
      <c r="N18" s="71" t="inlineStr">
        <is>
          <t>P</t>
        </is>
      </c>
      <c r="O18" s="71" t="inlineStr">
        <is>
          <t>P</t>
        </is>
      </c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1" t="n"/>
      <c r="BF18" s="71" t="n"/>
      <c r="BG18" s="71" t="n"/>
      <c r="BH18" s="71" t="n"/>
      <c r="BI18" s="71">
        <f>COUNTIF(F18:BH18,"P")</f>
        <v/>
      </c>
      <c r="BJ18" s="71">
        <f>SUM((BI18/BI12)*100)</f>
        <v/>
      </c>
    </row>
    <row r="19" ht="21" customHeight="1" s="55">
      <c r="A19" s="73" t="n">
        <v>7</v>
      </c>
      <c r="B19" s="74" t="n">
        <v>2410441</v>
      </c>
      <c r="C19" s="75" t="n">
        <v>3122245002073</v>
      </c>
      <c r="D19" s="76" t="inlineStr">
        <is>
          <t>Ragul A</t>
        </is>
      </c>
      <c r="E19" s="76" t="inlineStr">
        <is>
          <t>ragul2410441@ssn.edu.in</t>
        </is>
      </c>
      <c r="F19" s="71" t="inlineStr">
        <is>
          <t>P</t>
        </is>
      </c>
      <c r="G19" s="71" t="inlineStr">
        <is>
          <t>P</t>
        </is>
      </c>
      <c r="H19" s="71" t="inlineStr">
        <is>
          <t>P</t>
        </is>
      </c>
      <c r="I19" s="71" t="inlineStr">
        <is>
          <t>A</t>
        </is>
      </c>
      <c r="J19" s="71" t="inlineStr">
        <is>
          <t>P</t>
        </is>
      </c>
      <c r="K19" s="71" t="inlineStr">
        <is>
          <t>A</t>
        </is>
      </c>
      <c r="L19" s="71" t="inlineStr">
        <is>
          <t>P</t>
        </is>
      </c>
      <c r="M19" s="71" t="inlineStr">
        <is>
          <t>P</t>
        </is>
      </c>
      <c r="N19" s="71" t="inlineStr">
        <is>
          <t>P</t>
        </is>
      </c>
      <c r="O19" s="71" t="inlineStr">
        <is>
          <t>P</t>
        </is>
      </c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1" t="n"/>
      <c r="BF19" s="71" t="n"/>
      <c r="BG19" s="71" t="n"/>
      <c r="BH19" s="71" t="n"/>
      <c r="BI19" s="71">
        <f>COUNTIF(F19:BH19,"P")</f>
        <v/>
      </c>
      <c r="BJ19" s="71">
        <f>SUM((BI19/BI12)*100)</f>
        <v/>
      </c>
    </row>
    <row r="20" ht="21" customHeight="1" s="55">
      <c r="A20" s="73" t="n">
        <v>8</v>
      </c>
      <c r="B20" s="74" t="n">
        <v>2410834</v>
      </c>
      <c r="C20" s="75" t="n">
        <v>3122245002074</v>
      </c>
      <c r="D20" s="76" t="inlineStr">
        <is>
          <t>Ragunandhan M</t>
        </is>
      </c>
      <c r="E20" s="76" t="inlineStr">
        <is>
          <t>ragunandhan2410834@ssn.edu.in</t>
        </is>
      </c>
      <c r="F20" s="71" t="inlineStr">
        <is>
          <t>P</t>
        </is>
      </c>
      <c r="G20" s="71" t="inlineStr">
        <is>
          <t>P</t>
        </is>
      </c>
      <c r="H20" s="71" t="inlineStr">
        <is>
          <t>P</t>
        </is>
      </c>
      <c r="I20" s="71" t="inlineStr">
        <is>
          <t>P</t>
        </is>
      </c>
      <c r="J20" s="71" t="inlineStr">
        <is>
          <t>P</t>
        </is>
      </c>
      <c r="K20" s="71" t="inlineStr">
        <is>
          <t>P</t>
        </is>
      </c>
      <c r="L20" s="71" t="inlineStr">
        <is>
          <t>P</t>
        </is>
      </c>
      <c r="M20" s="71" t="inlineStr">
        <is>
          <t>P</t>
        </is>
      </c>
      <c r="N20" s="71" t="inlineStr">
        <is>
          <t>P</t>
        </is>
      </c>
      <c r="O20" s="71" t="inlineStr">
        <is>
          <t>P</t>
        </is>
      </c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>
        <f>COUNTIF(F20:BH20,"P")</f>
        <v/>
      </c>
      <c r="BJ20" s="71">
        <f>SUM((BI20/BI12)*100)</f>
        <v/>
      </c>
    </row>
    <row r="21" ht="21" customHeight="1" s="55">
      <c r="A21" s="73" t="n">
        <v>9</v>
      </c>
      <c r="B21" s="74" t="n">
        <v>2410098</v>
      </c>
      <c r="C21" s="75" t="n">
        <v>3122245002075</v>
      </c>
      <c r="D21" s="76" t="inlineStr">
        <is>
          <t>Rajkumar M</t>
        </is>
      </c>
      <c r="E21" s="76" t="inlineStr">
        <is>
          <t>rajkumar2410098@ssn.edu.in</t>
        </is>
      </c>
      <c r="F21" s="71" t="inlineStr">
        <is>
          <t>P</t>
        </is>
      </c>
      <c r="G21" s="71" t="inlineStr">
        <is>
          <t>A</t>
        </is>
      </c>
      <c r="H21" s="71" t="inlineStr">
        <is>
          <t>P</t>
        </is>
      </c>
      <c r="I21" s="71" t="inlineStr">
        <is>
          <t>P</t>
        </is>
      </c>
      <c r="J21" s="71" t="inlineStr">
        <is>
          <t>A</t>
        </is>
      </c>
      <c r="K21" s="71" t="inlineStr">
        <is>
          <t>A</t>
        </is>
      </c>
      <c r="L21" s="71" t="inlineStr">
        <is>
          <t>P</t>
        </is>
      </c>
      <c r="M21" s="71" t="inlineStr">
        <is>
          <t>A</t>
        </is>
      </c>
      <c r="N21" s="71" t="inlineStr">
        <is>
          <t>P</t>
        </is>
      </c>
      <c r="O21" s="71" t="inlineStr">
        <is>
          <t>A</t>
        </is>
      </c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>
        <f>COUNTIF(F21:BH21,"P")</f>
        <v/>
      </c>
      <c r="BJ21" s="71">
        <f>SUM((BI21/BI12)*100)</f>
        <v/>
      </c>
    </row>
    <row r="22" ht="21" customHeight="1" s="55">
      <c r="A22" s="73" t="n">
        <v>10</v>
      </c>
      <c r="B22" s="74" t="n">
        <v>2410632</v>
      </c>
      <c r="C22" s="75" t="n">
        <v>3122245002076</v>
      </c>
      <c r="D22" s="76" t="inlineStr">
        <is>
          <t>Ramakrishnan M R</t>
        </is>
      </c>
      <c r="E22" s="76" t="inlineStr">
        <is>
          <t>ramakrishnan2410632@ssn.edu.in</t>
        </is>
      </c>
      <c r="F22" s="71" t="inlineStr">
        <is>
          <t>P</t>
        </is>
      </c>
      <c r="G22" s="71" t="inlineStr">
        <is>
          <t>P</t>
        </is>
      </c>
      <c r="H22" s="71" t="inlineStr">
        <is>
          <t>P</t>
        </is>
      </c>
      <c r="I22" s="71" t="inlineStr">
        <is>
          <t>P</t>
        </is>
      </c>
      <c r="J22" s="71" t="inlineStr">
        <is>
          <t>A</t>
        </is>
      </c>
      <c r="K22" s="71" t="inlineStr">
        <is>
          <t>P</t>
        </is>
      </c>
      <c r="L22" s="71" t="inlineStr">
        <is>
          <t>P</t>
        </is>
      </c>
      <c r="M22" s="71" t="inlineStr">
        <is>
          <t>P</t>
        </is>
      </c>
      <c r="N22" s="71" t="inlineStr">
        <is>
          <t>P</t>
        </is>
      </c>
      <c r="O22" s="71" t="inlineStr">
        <is>
          <t>P</t>
        </is>
      </c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1" t="n"/>
      <c r="BF22" s="71" t="n"/>
      <c r="BG22" s="71" t="n"/>
      <c r="BH22" s="71" t="n"/>
      <c r="BI22" s="71">
        <f>COUNTIF(F22:BH22,"P")</f>
        <v/>
      </c>
      <c r="BJ22" s="71">
        <f>SUM((BI22/BI12)*100)</f>
        <v/>
      </c>
    </row>
    <row r="23" ht="21" customHeight="1" s="55">
      <c r="A23" s="73" t="n">
        <v>11</v>
      </c>
      <c r="B23" s="74" t="n">
        <v>2410313</v>
      </c>
      <c r="C23" s="75" t="n">
        <v>3122245002077</v>
      </c>
      <c r="D23" s="76" t="inlineStr">
        <is>
          <t>Raveena V K</t>
        </is>
      </c>
      <c r="E23" s="76" t="inlineStr">
        <is>
          <t>raveena2410313@ssn.edu.in</t>
        </is>
      </c>
      <c r="F23" s="71" t="inlineStr">
        <is>
          <t>P</t>
        </is>
      </c>
      <c r="G23" s="71" t="inlineStr">
        <is>
          <t>P</t>
        </is>
      </c>
      <c r="H23" s="71" t="inlineStr">
        <is>
          <t>A</t>
        </is>
      </c>
      <c r="I23" s="71" t="inlineStr">
        <is>
          <t>P</t>
        </is>
      </c>
      <c r="J23" s="71" t="inlineStr">
        <is>
          <t>A</t>
        </is>
      </c>
      <c r="K23" s="71" t="inlineStr">
        <is>
          <t>A</t>
        </is>
      </c>
      <c r="L23" s="71" t="inlineStr">
        <is>
          <t>P</t>
        </is>
      </c>
      <c r="M23" s="71" t="inlineStr">
        <is>
          <t>A</t>
        </is>
      </c>
      <c r="N23" s="71" t="inlineStr">
        <is>
          <t>P</t>
        </is>
      </c>
      <c r="O23" s="71" t="inlineStr">
        <is>
          <t>A</t>
        </is>
      </c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71" t="n"/>
      <c r="AW23" s="71" t="n"/>
      <c r="AX23" s="71" t="n"/>
      <c r="AY23" s="71" t="n"/>
      <c r="AZ23" s="71" t="n"/>
      <c r="BA23" s="71" t="n"/>
      <c r="BB23" s="71" t="n"/>
      <c r="BC23" s="71" t="n"/>
      <c r="BD23" s="71" t="n"/>
      <c r="BE23" s="71" t="n"/>
      <c r="BF23" s="71" t="n"/>
      <c r="BG23" s="71" t="n"/>
      <c r="BH23" s="71" t="n"/>
      <c r="BI23" s="71">
        <f>COUNTIF(F23:BH23,"P")</f>
        <v/>
      </c>
      <c r="BJ23" s="71">
        <f>SUM((BI23/BI12)*100)</f>
        <v/>
      </c>
    </row>
    <row r="24" ht="21" customHeight="1" s="55">
      <c r="A24" s="73" t="n">
        <v>12</v>
      </c>
      <c r="B24" s="74" t="n">
        <v>2410581</v>
      </c>
      <c r="C24" s="75" t="n">
        <v>3122245002078</v>
      </c>
      <c r="D24" s="76" t="inlineStr">
        <is>
          <t>Ridhi R</t>
        </is>
      </c>
      <c r="E24" s="76" t="inlineStr">
        <is>
          <t>ridhi2410581@ssn.edu.in</t>
        </is>
      </c>
      <c r="F24" s="71" t="inlineStr">
        <is>
          <t>P</t>
        </is>
      </c>
      <c r="G24" s="71" t="inlineStr">
        <is>
          <t>P</t>
        </is>
      </c>
      <c r="H24" s="71" t="inlineStr">
        <is>
          <t>P</t>
        </is>
      </c>
      <c r="I24" s="71" t="inlineStr">
        <is>
          <t>P</t>
        </is>
      </c>
      <c r="J24" s="71" t="inlineStr">
        <is>
          <t>P</t>
        </is>
      </c>
      <c r="K24" s="71" t="inlineStr">
        <is>
          <t>A</t>
        </is>
      </c>
      <c r="L24" s="71" t="inlineStr">
        <is>
          <t>P</t>
        </is>
      </c>
      <c r="M24" s="71" t="inlineStr">
        <is>
          <t>A</t>
        </is>
      </c>
      <c r="N24" s="71" t="inlineStr">
        <is>
          <t>A</t>
        </is>
      </c>
      <c r="O24" s="71" t="inlineStr">
        <is>
          <t>A</t>
        </is>
      </c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71" t="n"/>
      <c r="AW24" s="71" t="n"/>
      <c r="AX24" s="71" t="n"/>
      <c r="AY24" s="71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>
        <f>COUNTIF(F24:BH24,"P")</f>
        <v/>
      </c>
      <c r="BJ24" s="71">
        <f>SUM((BI24/BI12)*100)</f>
        <v/>
      </c>
    </row>
    <row r="25" ht="21" customHeight="1" s="55">
      <c r="A25" s="73" t="n">
        <v>13</v>
      </c>
      <c r="B25" s="74" t="n">
        <v>2410343</v>
      </c>
      <c r="C25" s="75" t="n">
        <v>3122245002079</v>
      </c>
      <c r="D25" s="76" t="inlineStr">
        <is>
          <t>Rishikumar Pitchiah Kalyanakumar</t>
        </is>
      </c>
      <c r="E25" s="76" t="inlineStr">
        <is>
          <t>rishikumar2410343@ssn.edu.in</t>
        </is>
      </c>
      <c r="F25" s="71" t="inlineStr">
        <is>
          <t>A</t>
        </is>
      </c>
      <c r="G25" s="71" t="inlineStr">
        <is>
          <t>P</t>
        </is>
      </c>
      <c r="H25" s="71" t="inlineStr">
        <is>
          <t>A</t>
        </is>
      </c>
      <c r="I25" s="71" t="inlineStr">
        <is>
          <t>A</t>
        </is>
      </c>
      <c r="J25" s="71" t="inlineStr">
        <is>
          <t>A</t>
        </is>
      </c>
      <c r="K25" s="71" t="inlineStr">
        <is>
          <t>P</t>
        </is>
      </c>
      <c r="L25" s="71" t="inlineStr">
        <is>
          <t>P</t>
        </is>
      </c>
      <c r="M25" s="71" t="inlineStr">
        <is>
          <t>A</t>
        </is>
      </c>
      <c r="N25" s="71" t="inlineStr">
        <is>
          <t>P</t>
        </is>
      </c>
      <c r="O25" s="71" t="inlineStr">
        <is>
          <t>P</t>
        </is>
      </c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71" t="n"/>
      <c r="AW25" s="71" t="n"/>
      <c r="AX25" s="71" t="n"/>
      <c r="AY25" s="71" t="n"/>
      <c r="AZ25" s="71" t="n"/>
      <c r="BA25" s="71" t="n"/>
      <c r="BB25" s="71" t="n"/>
      <c r="BC25" s="71" t="n"/>
      <c r="BD25" s="71" t="n"/>
      <c r="BE25" s="71" t="n"/>
      <c r="BF25" s="71" t="n"/>
      <c r="BG25" s="71" t="n"/>
      <c r="BH25" s="71" t="n"/>
      <c r="BI25" s="71">
        <f>COUNTIF(F25:BH25,"P")</f>
        <v/>
      </c>
      <c r="BJ25" s="71">
        <f>SUM((BI25/BI12)*100)</f>
        <v/>
      </c>
    </row>
    <row r="26" ht="21" customHeight="1" s="55">
      <c r="A26" s="73" t="n">
        <v>14</v>
      </c>
      <c r="B26" s="74" t="n">
        <v>2410308</v>
      </c>
      <c r="C26" s="75" t="n">
        <v>3122245002080</v>
      </c>
      <c r="D26" s="76" t="inlineStr">
        <is>
          <t>Rithin Asvathama V</t>
        </is>
      </c>
      <c r="E26" s="76" t="inlineStr">
        <is>
          <t>rithinasvathama2410308@ssn.edu.in</t>
        </is>
      </c>
      <c r="F26" s="71" t="inlineStr">
        <is>
          <t>A</t>
        </is>
      </c>
      <c r="G26" s="71" t="inlineStr">
        <is>
          <t>P</t>
        </is>
      </c>
      <c r="H26" s="71" t="inlineStr">
        <is>
          <t>A</t>
        </is>
      </c>
      <c r="I26" s="71" t="inlineStr">
        <is>
          <t>P</t>
        </is>
      </c>
      <c r="J26" s="71" t="inlineStr">
        <is>
          <t>P</t>
        </is>
      </c>
      <c r="K26" s="71" t="inlineStr">
        <is>
          <t>A</t>
        </is>
      </c>
      <c r="L26" s="71" t="inlineStr">
        <is>
          <t>P</t>
        </is>
      </c>
      <c r="M26" s="71" t="inlineStr">
        <is>
          <t>A</t>
        </is>
      </c>
      <c r="N26" s="71" t="inlineStr">
        <is>
          <t>P</t>
        </is>
      </c>
      <c r="O26" s="71" t="inlineStr">
        <is>
          <t>A</t>
        </is>
      </c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>
        <f>COUNTIF(F26:BH26,"P")</f>
        <v/>
      </c>
      <c r="BJ26" s="71">
        <f>SUM((BI26/BI12)*100)</f>
        <v/>
      </c>
    </row>
    <row r="27" ht="21" customHeight="1" s="55">
      <c r="A27" s="73" t="n">
        <v>15</v>
      </c>
      <c r="B27" s="74" t="n">
        <v>2410445</v>
      </c>
      <c r="C27" s="75" t="n">
        <v>3122245002081</v>
      </c>
      <c r="D27" s="76" t="inlineStr">
        <is>
          <t>Ritvik Kumar T</t>
        </is>
      </c>
      <c r="E27" s="76" t="inlineStr">
        <is>
          <t>ritvikkumar2410445@ssn.edu.in</t>
        </is>
      </c>
      <c r="F27" s="71" t="inlineStr">
        <is>
          <t>P</t>
        </is>
      </c>
      <c r="G27" s="71" t="inlineStr">
        <is>
          <t>P</t>
        </is>
      </c>
      <c r="H27" s="71" t="inlineStr">
        <is>
          <t>P</t>
        </is>
      </c>
      <c r="I27" s="71" t="inlineStr">
        <is>
          <t>A</t>
        </is>
      </c>
      <c r="J27" s="71" t="inlineStr">
        <is>
          <t>P</t>
        </is>
      </c>
      <c r="K27" s="71" t="inlineStr">
        <is>
          <t>P</t>
        </is>
      </c>
      <c r="L27" s="71" t="inlineStr">
        <is>
          <t>P</t>
        </is>
      </c>
      <c r="M27" s="71" t="inlineStr">
        <is>
          <t>P</t>
        </is>
      </c>
      <c r="N27" s="71" t="inlineStr">
        <is>
          <t>P</t>
        </is>
      </c>
      <c r="O27" s="71" t="inlineStr">
        <is>
          <t>P</t>
        </is>
      </c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>
        <f>COUNTIF(F27:BH27,"P")</f>
        <v/>
      </c>
      <c r="BJ27" s="71">
        <f>SUM((BI27/BI12)*100)</f>
        <v/>
      </c>
    </row>
    <row r="28" ht="21" customHeight="1" s="55">
      <c r="A28" s="73" t="n">
        <v>16</v>
      </c>
      <c r="B28" s="74" t="n">
        <v>2410230</v>
      </c>
      <c r="C28" s="75" t="n">
        <v>3122245002082</v>
      </c>
      <c r="D28" s="76" t="inlineStr">
        <is>
          <t>Roja Sri R</t>
        </is>
      </c>
      <c r="E28" s="76" t="inlineStr">
        <is>
          <t>rojasri2410230@ssn.edu.in</t>
        </is>
      </c>
      <c r="F28" s="71" t="inlineStr">
        <is>
          <t>P</t>
        </is>
      </c>
      <c r="G28" s="71" t="inlineStr">
        <is>
          <t>P</t>
        </is>
      </c>
      <c r="H28" s="71" t="inlineStr">
        <is>
          <t>P</t>
        </is>
      </c>
      <c r="I28" s="71" t="inlineStr">
        <is>
          <t>A</t>
        </is>
      </c>
      <c r="J28" s="71" t="inlineStr">
        <is>
          <t>P</t>
        </is>
      </c>
      <c r="K28" s="71" t="inlineStr">
        <is>
          <t>A</t>
        </is>
      </c>
      <c r="L28" s="71" t="inlineStr">
        <is>
          <t>P</t>
        </is>
      </c>
      <c r="M28" s="71" t="inlineStr">
        <is>
          <t>P</t>
        </is>
      </c>
      <c r="N28" s="71" t="inlineStr">
        <is>
          <t>P</t>
        </is>
      </c>
      <c r="O28" s="71" t="inlineStr">
        <is>
          <t>A</t>
        </is>
      </c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>
        <f>COUNTIF(F28:BH28,"P")</f>
        <v/>
      </c>
      <c r="BJ28" s="71">
        <f>SUM((BI28/BI12)*100)</f>
        <v/>
      </c>
    </row>
    <row r="29" ht="21" customHeight="1" s="55">
      <c r="A29" s="73" t="n">
        <v>17</v>
      </c>
      <c r="B29" s="74" t="n">
        <v>2410331</v>
      </c>
      <c r="C29" s="75" t="n">
        <v>3122245002083</v>
      </c>
      <c r="D29" s="76" t="inlineStr">
        <is>
          <t>Rovena Madharasi I</t>
        </is>
      </c>
      <c r="E29" s="76" t="inlineStr">
        <is>
          <t>rovenamadharasi2410331@ssn.edu.in</t>
        </is>
      </c>
      <c r="F29" s="71" t="inlineStr">
        <is>
          <t>P</t>
        </is>
      </c>
      <c r="G29" s="71" t="inlineStr">
        <is>
          <t>P</t>
        </is>
      </c>
      <c r="H29" s="71" t="inlineStr">
        <is>
          <t>P</t>
        </is>
      </c>
      <c r="I29" s="71" t="inlineStr">
        <is>
          <t>P</t>
        </is>
      </c>
      <c r="J29" s="71" t="inlineStr">
        <is>
          <t>P</t>
        </is>
      </c>
      <c r="K29" s="71" t="inlineStr">
        <is>
          <t>P</t>
        </is>
      </c>
      <c r="L29" s="71" t="inlineStr">
        <is>
          <t>P</t>
        </is>
      </c>
      <c r="M29" s="71" t="inlineStr">
        <is>
          <t>P</t>
        </is>
      </c>
      <c r="N29" s="71" t="inlineStr">
        <is>
          <t>A</t>
        </is>
      </c>
      <c r="O29" s="71" t="inlineStr">
        <is>
          <t>P</t>
        </is>
      </c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>
        <f>COUNTIF(F29:BH29,"P")</f>
        <v/>
      </c>
      <c r="BJ29" s="71">
        <f>SUM((BI29/BI12)*100)</f>
        <v/>
      </c>
    </row>
    <row r="30" ht="21" customHeight="1" s="55">
      <c r="A30" s="73" t="n">
        <v>18</v>
      </c>
      <c r="B30" s="74" t="n">
        <v>2410229</v>
      </c>
      <c r="C30" s="75" t="n">
        <v>3122245002084</v>
      </c>
      <c r="D30" s="76" t="inlineStr">
        <is>
          <t>Sabarish S B</t>
        </is>
      </c>
      <c r="E30" s="76" t="inlineStr">
        <is>
          <t>sabarish2410229@ssn.edu.in</t>
        </is>
      </c>
      <c r="F30" s="71" t="inlineStr">
        <is>
          <t>P</t>
        </is>
      </c>
      <c r="G30" s="71" t="inlineStr">
        <is>
          <t>P</t>
        </is>
      </c>
      <c r="H30" s="71" t="inlineStr">
        <is>
          <t>P</t>
        </is>
      </c>
      <c r="I30" s="71" t="inlineStr">
        <is>
          <t>P</t>
        </is>
      </c>
      <c r="J30" s="71" t="inlineStr">
        <is>
          <t>P</t>
        </is>
      </c>
      <c r="K30" s="71" t="inlineStr">
        <is>
          <t>A</t>
        </is>
      </c>
      <c r="L30" s="71" t="inlineStr">
        <is>
          <t>P</t>
        </is>
      </c>
      <c r="M30" s="71" t="inlineStr">
        <is>
          <t>A</t>
        </is>
      </c>
      <c r="N30" s="71" t="inlineStr">
        <is>
          <t>A</t>
        </is>
      </c>
      <c r="O30" s="71" t="inlineStr">
        <is>
          <t>A</t>
        </is>
      </c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>
        <f>COUNTIF(F30:BH30,"P")</f>
        <v/>
      </c>
      <c r="BJ30" s="71">
        <f>SUM((BI30/BI12)*100)</f>
        <v/>
      </c>
    </row>
    <row r="31" ht="21" customHeight="1" s="55">
      <c r="A31" s="73" t="n">
        <v>19</v>
      </c>
      <c r="B31" s="74" t="n">
        <v>2410984</v>
      </c>
      <c r="C31" s="75" t="n">
        <v>3122245002085</v>
      </c>
      <c r="D31" s="76" t="inlineStr">
        <is>
          <t>Sahana A</t>
        </is>
      </c>
      <c r="E31" s="76" t="inlineStr">
        <is>
          <t>sahana2410984@ssn.edu.in</t>
        </is>
      </c>
      <c r="F31" s="71" t="inlineStr">
        <is>
          <t>A</t>
        </is>
      </c>
      <c r="G31" s="71" t="inlineStr">
        <is>
          <t>P</t>
        </is>
      </c>
      <c r="H31" s="71" t="inlineStr">
        <is>
          <t>A</t>
        </is>
      </c>
      <c r="I31" s="71" t="inlineStr">
        <is>
          <t>A</t>
        </is>
      </c>
      <c r="J31" s="71" t="inlineStr">
        <is>
          <t>P</t>
        </is>
      </c>
      <c r="K31" s="71" t="inlineStr">
        <is>
          <t>A</t>
        </is>
      </c>
      <c r="L31" s="71" t="inlineStr">
        <is>
          <t>P</t>
        </is>
      </c>
      <c r="M31" s="71" t="inlineStr">
        <is>
          <t>P</t>
        </is>
      </c>
      <c r="N31" s="71" t="inlineStr">
        <is>
          <t>P</t>
        </is>
      </c>
      <c r="O31" s="71" t="inlineStr">
        <is>
          <t>A</t>
        </is>
      </c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>
        <f>COUNTIF(F31:BH31,"P")</f>
        <v/>
      </c>
      <c r="BJ31" s="71">
        <f>SUM((BI31/BI12)*100)</f>
        <v/>
      </c>
    </row>
    <row r="32" ht="21" customHeight="1" s="55">
      <c r="A32" s="73" t="n">
        <v>20</v>
      </c>
      <c r="B32" s="74" t="n">
        <v>2410091</v>
      </c>
      <c r="C32" s="75" t="n">
        <v>3122245002086</v>
      </c>
      <c r="D32" s="76" t="inlineStr">
        <is>
          <t>Sandhya B</t>
        </is>
      </c>
      <c r="E32" s="76" t="inlineStr">
        <is>
          <t>sandhya2410091@ssn.edu.in</t>
        </is>
      </c>
      <c r="F32" s="71" t="inlineStr">
        <is>
          <t>P</t>
        </is>
      </c>
      <c r="G32" s="71" t="inlineStr">
        <is>
          <t>P</t>
        </is>
      </c>
      <c r="H32" s="71" t="inlineStr">
        <is>
          <t>P</t>
        </is>
      </c>
      <c r="I32" s="71" t="inlineStr">
        <is>
          <t>A</t>
        </is>
      </c>
      <c r="J32" s="71" t="inlineStr">
        <is>
          <t>P</t>
        </is>
      </c>
      <c r="K32" s="71" t="inlineStr">
        <is>
          <t>A</t>
        </is>
      </c>
      <c r="L32" s="71" t="inlineStr">
        <is>
          <t>P</t>
        </is>
      </c>
      <c r="M32" s="71" t="inlineStr">
        <is>
          <t>P</t>
        </is>
      </c>
      <c r="N32" s="71" t="inlineStr">
        <is>
          <t>A</t>
        </is>
      </c>
      <c r="O32" s="71" t="inlineStr">
        <is>
          <t>P</t>
        </is>
      </c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>
        <f>COUNTIF(F32:BH32,"P")</f>
        <v/>
      </c>
      <c r="BJ32" s="71">
        <f>SUM((BI32/BI12)*100)</f>
        <v/>
      </c>
    </row>
    <row r="33" ht="21" customHeight="1" s="55">
      <c r="A33" s="73" t="n">
        <v>21</v>
      </c>
      <c r="B33" s="74" t="n">
        <v>2410706</v>
      </c>
      <c r="C33" s="75" t="n">
        <v>3122245002087</v>
      </c>
      <c r="D33" s="76" t="inlineStr">
        <is>
          <t>Sandhya S</t>
        </is>
      </c>
      <c r="E33" s="76" t="inlineStr">
        <is>
          <t>sandhya2410706@ssn.edu.in</t>
        </is>
      </c>
      <c r="F33" s="71" t="inlineStr">
        <is>
          <t>P</t>
        </is>
      </c>
      <c r="G33" s="71" t="inlineStr">
        <is>
          <t>P</t>
        </is>
      </c>
      <c r="H33" s="71" t="inlineStr">
        <is>
          <t>P</t>
        </is>
      </c>
      <c r="I33" s="71" t="inlineStr">
        <is>
          <t>P</t>
        </is>
      </c>
      <c r="J33" s="71" t="inlineStr">
        <is>
          <t>A</t>
        </is>
      </c>
      <c r="K33" s="71" t="inlineStr">
        <is>
          <t>A</t>
        </is>
      </c>
      <c r="L33" s="71" t="inlineStr">
        <is>
          <t>A</t>
        </is>
      </c>
      <c r="M33" s="71" t="inlineStr">
        <is>
          <t>A</t>
        </is>
      </c>
      <c r="N33" s="71" t="inlineStr">
        <is>
          <t>P</t>
        </is>
      </c>
      <c r="O33" s="71" t="inlineStr">
        <is>
          <t>P</t>
        </is>
      </c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>
        <f>COUNTIF(F33:BH33,"P")</f>
        <v/>
      </c>
      <c r="BJ33" s="71">
        <f>SUM((BI33/BI12)*100)</f>
        <v/>
      </c>
    </row>
    <row r="34" ht="21" customHeight="1" s="55">
      <c r="A34" s="73" t="n">
        <v>22</v>
      </c>
      <c r="B34" s="74" t="n">
        <v>2410778</v>
      </c>
      <c r="C34" s="75" t="n">
        <v>3122245002088</v>
      </c>
      <c r="D34" s="76" t="inlineStr">
        <is>
          <t>Sangaraju Sathwik</t>
        </is>
      </c>
      <c r="E34" s="76" t="inlineStr">
        <is>
          <t>sangaraju2410778@ssn.edu.in</t>
        </is>
      </c>
      <c r="F34" s="71" t="inlineStr">
        <is>
          <t>A</t>
        </is>
      </c>
      <c r="G34" s="71" t="inlineStr">
        <is>
          <t>P</t>
        </is>
      </c>
      <c r="H34" s="71" t="inlineStr">
        <is>
          <t>A</t>
        </is>
      </c>
      <c r="I34" s="71" t="inlineStr">
        <is>
          <t>P</t>
        </is>
      </c>
      <c r="J34" s="71" t="inlineStr">
        <is>
          <t>A</t>
        </is>
      </c>
      <c r="K34" s="71" t="inlineStr">
        <is>
          <t>A</t>
        </is>
      </c>
      <c r="L34" s="71" t="inlineStr">
        <is>
          <t>A</t>
        </is>
      </c>
      <c r="M34" s="71" t="inlineStr">
        <is>
          <t>A</t>
        </is>
      </c>
      <c r="N34" s="71" t="inlineStr">
        <is>
          <t>P</t>
        </is>
      </c>
      <c r="O34" s="71" t="inlineStr">
        <is>
          <t>A</t>
        </is>
      </c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>
        <f>COUNTIF(F34:BH34,"P")</f>
        <v/>
      </c>
      <c r="BJ34" s="71">
        <f>SUM((BI34/BI12)*100)</f>
        <v/>
      </c>
    </row>
    <row r="35" ht="21" customHeight="1" s="55">
      <c r="A35" s="73" t="n">
        <v>23</v>
      </c>
      <c r="B35" s="74" t="n">
        <v>2410162</v>
      </c>
      <c r="C35" s="75" t="n">
        <v>3122245002089</v>
      </c>
      <c r="D35" s="76" t="inlineStr">
        <is>
          <t>Sanjana Shankar</t>
        </is>
      </c>
      <c r="E35" s="76" t="inlineStr">
        <is>
          <t>sanjana2410162@ssn.edu.in</t>
        </is>
      </c>
      <c r="F35" s="71" t="inlineStr">
        <is>
          <t>P</t>
        </is>
      </c>
      <c r="G35" s="71" t="inlineStr">
        <is>
          <t>A</t>
        </is>
      </c>
      <c r="H35" s="71" t="inlineStr">
        <is>
          <t>A</t>
        </is>
      </c>
      <c r="I35" s="71" t="inlineStr">
        <is>
          <t>A</t>
        </is>
      </c>
      <c r="J35" s="71" t="inlineStr">
        <is>
          <t>A</t>
        </is>
      </c>
      <c r="K35" s="71" t="inlineStr">
        <is>
          <t>A</t>
        </is>
      </c>
      <c r="L35" s="71" t="inlineStr">
        <is>
          <t>P</t>
        </is>
      </c>
      <c r="M35" s="71" t="inlineStr">
        <is>
          <t>A</t>
        </is>
      </c>
      <c r="N35" s="71" t="inlineStr">
        <is>
          <t>A</t>
        </is>
      </c>
      <c r="O35" s="71" t="inlineStr">
        <is>
          <t>A</t>
        </is>
      </c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>
        <f>COUNTIF(F35:BH35,"P")</f>
        <v/>
      </c>
      <c r="BJ35" s="71">
        <f>SUM((BI35/BI12)*100)</f>
        <v/>
      </c>
    </row>
    <row r="36" ht="21" customHeight="1" s="55">
      <c r="A36" s="73" t="n">
        <v>24</v>
      </c>
      <c r="B36" s="74" t="n">
        <v>2410514</v>
      </c>
      <c r="C36" s="75" t="n">
        <v>3122245002090</v>
      </c>
      <c r="D36" s="76" t="inlineStr">
        <is>
          <t>Sanjay J</t>
        </is>
      </c>
      <c r="E36" s="76" t="inlineStr">
        <is>
          <t>sanjay2410514@ssn.edu.in</t>
        </is>
      </c>
      <c r="F36" s="71" t="inlineStr">
        <is>
          <t>A</t>
        </is>
      </c>
      <c r="G36" s="71" t="inlineStr">
        <is>
          <t>P</t>
        </is>
      </c>
      <c r="H36" s="71" t="inlineStr">
        <is>
          <t>A</t>
        </is>
      </c>
      <c r="I36" s="71" t="inlineStr">
        <is>
          <t>A</t>
        </is>
      </c>
      <c r="J36" s="71" t="inlineStr">
        <is>
          <t>P</t>
        </is>
      </c>
      <c r="K36" s="71" t="inlineStr">
        <is>
          <t>A</t>
        </is>
      </c>
      <c r="L36" s="71" t="inlineStr">
        <is>
          <t>A</t>
        </is>
      </c>
      <c r="M36" s="71" t="inlineStr">
        <is>
          <t>A</t>
        </is>
      </c>
      <c r="N36" s="71" t="inlineStr">
        <is>
          <t>A</t>
        </is>
      </c>
      <c r="O36" s="71" t="inlineStr">
        <is>
          <t>A</t>
        </is>
      </c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>
        <f>COUNTIF(F36:BH36,"P")</f>
        <v/>
      </c>
      <c r="BJ36" s="71">
        <f>SUM((BI36/BI12)*100)</f>
        <v/>
      </c>
    </row>
    <row r="37" ht="21" customHeight="1" s="55">
      <c r="A37" s="73" t="n">
        <v>25</v>
      </c>
      <c r="B37" s="74" t="n">
        <v>2410068</v>
      </c>
      <c r="C37" s="75" t="n">
        <v>3122245002091</v>
      </c>
      <c r="D37" s="76" t="inlineStr">
        <is>
          <t>Sanjay Raam S</t>
        </is>
      </c>
      <c r="E37" s="76" t="inlineStr">
        <is>
          <t>sanjayraam2410068@ssn.edu.in</t>
        </is>
      </c>
      <c r="F37" s="71" t="inlineStr">
        <is>
          <t>P</t>
        </is>
      </c>
      <c r="G37" s="71" t="inlineStr">
        <is>
          <t>P</t>
        </is>
      </c>
      <c r="H37" s="71" t="inlineStr">
        <is>
          <t>P</t>
        </is>
      </c>
      <c r="I37" s="71" t="inlineStr">
        <is>
          <t>A</t>
        </is>
      </c>
      <c r="J37" s="71" t="inlineStr">
        <is>
          <t>A</t>
        </is>
      </c>
      <c r="K37" s="71" t="inlineStr">
        <is>
          <t>A</t>
        </is>
      </c>
      <c r="L37" s="71" t="inlineStr">
        <is>
          <t>A</t>
        </is>
      </c>
      <c r="M37" s="71" t="inlineStr">
        <is>
          <t>P</t>
        </is>
      </c>
      <c r="N37" s="71" t="inlineStr">
        <is>
          <t>A</t>
        </is>
      </c>
      <c r="O37" s="71" t="inlineStr">
        <is>
          <t>A</t>
        </is>
      </c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>
        <f>COUNTIF(F37:BH37,"P")</f>
        <v/>
      </c>
      <c r="BJ37" s="71">
        <f>SUM((BI37/BI12)*100)</f>
        <v/>
      </c>
    </row>
    <row r="38" ht="21" customHeight="1" s="55">
      <c r="A38" s="73" t="n">
        <v>26</v>
      </c>
      <c r="B38" s="74" t="n">
        <v>2410185</v>
      </c>
      <c r="C38" s="75" t="n">
        <v>3122245002092</v>
      </c>
      <c r="D38" s="76" t="inlineStr">
        <is>
          <t>Sanjay T</t>
        </is>
      </c>
      <c r="E38" s="76" t="inlineStr">
        <is>
          <t>sanjay2410185@ssn.edu.in</t>
        </is>
      </c>
      <c r="F38" s="71" t="inlineStr">
        <is>
          <t>P</t>
        </is>
      </c>
      <c r="G38" s="71" t="inlineStr">
        <is>
          <t>P</t>
        </is>
      </c>
      <c r="H38" s="71" t="inlineStr">
        <is>
          <t>P</t>
        </is>
      </c>
      <c r="I38" s="71" t="inlineStr">
        <is>
          <t>P</t>
        </is>
      </c>
      <c r="J38" s="71" t="inlineStr">
        <is>
          <t>A</t>
        </is>
      </c>
      <c r="K38" s="71" t="inlineStr">
        <is>
          <t>A</t>
        </is>
      </c>
      <c r="L38" s="71" t="inlineStr">
        <is>
          <t>P</t>
        </is>
      </c>
      <c r="M38" s="71" t="inlineStr">
        <is>
          <t>P</t>
        </is>
      </c>
      <c r="N38" s="71" t="inlineStr">
        <is>
          <t>A</t>
        </is>
      </c>
      <c r="O38" s="71" t="inlineStr">
        <is>
          <t>A</t>
        </is>
      </c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>
        <f>COUNTIF(F38:BH38,"P")</f>
        <v/>
      </c>
      <c r="BJ38" s="71">
        <f>SUM((BI38/BI12)*100)</f>
        <v/>
      </c>
    </row>
    <row r="39" ht="21" customHeight="1" s="55">
      <c r="A39" s="73" t="n">
        <v>27</v>
      </c>
      <c r="B39" s="74" t="n">
        <v>2410988</v>
      </c>
      <c r="C39" s="75" t="n">
        <v>3122245002093</v>
      </c>
      <c r="D39" s="76" t="inlineStr">
        <is>
          <t>Santhosh Aaron C</t>
        </is>
      </c>
      <c r="E39" s="76" t="inlineStr">
        <is>
          <t>santhosh2410988@ssn.edu.in</t>
        </is>
      </c>
      <c r="F39" s="71" t="inlineStr">
        <is>
          <t>P</t>
        </is>
      </c>
      <c r="G39" s="71" t="inlineStr">
        <is>
          <t>P</t>
        </is>
      </c>
      <c r="H39" s="71" t="inlineStr">
        <is>
          <t>P</t>
        </is>
      </c>
      <c r="I39" s="71" t="inlineStr">
        <is>
          <t>A</t>
        </is>
      </c>
      <c r="J39" s="71" t="inlineStr">
        <is>
          <t>A</t>
        </is>
      </c>
      <c r="K39" s="71" t="inlineStr">
        <is>
          <t>A</t>
        </is>
      </c>
      <c r="L39" s="71" t="inlineStr">
        <is>
          <t>A</t>
        </is>
      </c>
      <c r="M39" s="71" t="inlineStr">
        <is>
          <t>A</t>
        </is>
      </c>
      <c r="N39" s="71" t="inlineStr">
        <is>
          <t>A</t>
        </is>
      </c>
      <c r="O39" s="71" t="inlineStr">
        <is>
          <t>A</t>
        </is>
      </c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>
        <f>COUNTIF(F39:BH39,"P")</f>
        <v/>
      </c>
      <c r="BJ39" s="71">
        <f>SUM((BI39/BI12)*100)</f>
        <v/>
      </c>
    </row>
    <row r="40" ht="21" customHeight="1" s="55">
      <c r="A40" s="73" t="n">
        <v>28</v>
      </c>
      <c r="B40" s="74" t="n">
        <v>2410488</v>
      </c>
      <c r="C40" s="75" t="n">
        <v>3122245002094</v>
      </c>
      <c r="D40" s="76" t="inlineStr">
        <is>
          <t>Sarvesh K</t>
        </is>
      </c>
      <c r="E40" s="76" t="inlineStr">
        <is>
          <t>sarvesh2410488@ssn.edu.in</t>
        </is>
      </c>
      <c r="F40" s="71" t="inlineStr">
        <is>
          <t>P</t>
        </is>
      </c>
      <c r="G40" s="71" t="inlineStr">
        <is>
          <t>P</t>
        </is>
      </c>
      <c r="H40" s="71" t="inlineStr">
        <is>
          <t>A</t>
        </is>
      </c>
      <c r="I40" s="71" t="inlineStr">
        <is>
          <t>P</t>
        </is>
      </c>
      <c r="J40" s="71" t="inlineStr">
        <is>
          <t>A</t>
        </is>
      </c>
      <c r="K40" s="71" t="inlineStr">
        <is>
          <t>A</t>
        </is>
      </c>
      <c r="L40" s="71" t="inlineStr">
        <is>
          <t>P</t>
        </is>
      </c>
      <c r="M40" s="71" t="inlineStr">
        <is>
          <t>A</t>
        </is>
      </c>
      <c r="N40" s="71" t="inlineStr">
        <is>
          <t>P</t>
        </is>
      </c>
      <c r="O40" s="71" t="inlineStr">
        <is>
          <t>P</t>
        </is>
      </c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>
        <f>COUNTIF(F40:BH40,"P")</f>
        <v/>
      </c>
      <c r="BJ40" s="71">
        <f>SUM((BI40/BI12)*100)</f>
        <v/>
      </c>
    </row>
    <row r="41" ht="21" customHeight="1" s="55">
      <c r="A41" s="73" t="n">
        <v>29</v>
      </c>
      <c r="B41" s="74" t="n">
        <v>2410076</v>
      </c>
      <c r="C41" s="75" t="n">
        <v>3122245002095</v>
      </c>
      <c r="D41" s="76" t="inlineStr">
        <is>
          <t>Sarvesh S</t>
        </is>
      </c>
      <c r="E41" s="76" t="inlineStr">
        <is>
          <t>sarvesh2410076@ssn.edu.in</t>
        </is>
      </c>
      <c r="F41" s="71" t="inlineStr">
        <is>
          <t>P</t>
        </is>
      </c>
      <c r="G41" s="71" t="inlineStr">
        <is>
          <t>P</t>
        </is>
      </c>
      <c r="H41" s="71" t="inlineStr">
        <is>
          <t>P</t>
        </is>
      </c>
      <c r="I41" s="71" t="inlineStr">
        <is>
          <t>P</t>
        </is>
      </c>
      <c r="J41" s="71" t="inlineStr">
        <is>
          <t>P</t>
        </is>
      </c>
      <c r="K41" s="71" t="inlineStr">
        <is>
          <t>P</t>
        </is>
      </c>
      <c r="L41" s="71" t="inlineStr">
        <is>
          <t>A</t>
        </is>
      </c>
      <c r="M41" s="71" t="inlineStr">
        <is>
          <t>A</t>
        </is>
      </c>
      <c r="N41" s="71" t="inlineStr">
        <is>
          <t>A</t>
        </is>
      </c>
      <c r="O41" s="71" t="inlineStr">
        <is>
          <t>A</t>
        </is>
      </c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>
        <f>COUNTIF(F41:BH41,"P")</f>
        <v/>
      </c>
      <c r="BJ41" s="71">
        <f>SUM((BI41/BI12)*100)</f>
        <v/>
      </c>
    </row>
    <row r="42" ht="21" customHeight="1" s="55">
      <c r="A42" s="73" t="n">
        <v>30</v>
      </c>
      <c r="B42" s="74" t="n">
        <v>2410740</v>
      </c>
      <c r="C42" s="75" t="n">
        <v>3122245002096</v>
      </c>
      <c r="D42" s="76" t="inlineStr">
        <is>
          <t>Sarvesh S</t>
        </is>
      </c>
      <c r="E42" s="76" t="inlineStr">
        <is>
          <t>sarvesh2410740@ssn.edu.in</t>
        </is>
      </c>
      <c r="F42" s="71" t="inlineStr">
        <is>
          <t>P</t>
        </is>
      </c>
      <c r="G42" s="71" t="inlineStr">
        <is>
          <t>P</t>
        </is>
      </c>
      <c r="H42" s="71" t="inlineStr">
        <is>
          <t>P</t>
        </is>
      </c>
      <c r="I42" s="71" t="inlineStr">
        <is>
          <t>A</t>
        </is>
      </c>
      <c r="J42" s="71" t="inlineStr">
        <is>
          <t>P</t>
        </is>
      </c>
      <c r="K42" s="71" t="inlineStr">
        <is>
          <t>A</t>
        </is>
      </c>
      <c r="L42" s="71" t="inlineStr">
        <is>
          <t>A</t>
        </is>
      </c>
      <c r="M42" s="71" t="inlineStr">
        <is>
          <t>P</t>
        </is>
      </c>
      <c r="N42" s="71" t="inlineStr">
        <is>
          <t>A</t>
        </is>
      </c>
      <c r="O42" s="71" t="inlineStr">
        <is>
          <t>P</t>
        </is>
      </c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>
        <f>COUNTIF(F42:BH42,"P")</f>
        <v/>
      </c>
      <c r="BJ42" s="71">
        <f>SUM((BI42/BI12)*100)</f>
        <v/>
      </c>
    </row>
    <row r="43" ht="21" customHeight="1" s="55">
      <c r="A43" s="73" t="n">
        <v>31</v>
      </c>
      <c r="B43" s="74" t="n">
        <v>2410118</v>
      </c>
      <c r="C43" s="75" t="n">
        <v>3122245002097</v>
      </c>
      <c r="D43" s="76" t="inlineStr">
        <is>
          <t>Sathvik Gururaghavendran</t>
        </is>
      </c>
      <c r="E43" s="76" t="inlineStr">
        <is>
          <t>sathvik2410118@ssn.edu.in</t>
        </is>
      </c>
      <c r="F43" s="71" t="inlineStr">
        <is>
          <t>P</t>
        </is>
      </c>
      <c r="G43" s="71" t="inlineStr">
        <is>
          <t>A</t>
        </is>
      </c>
      <c r="H43" s="71" t="inlineStr">
        <is>
          <t>A</t>
        </is>
      </c>
      <c r="I43" s="71" t="inlineStr">
        <is>
          <t>P</t>
        </is>
      </c>
      <c r="J43" s="71" t="inlineStr">
        <is>
          <t>A</t>
        </is>
      </c>
      <c r="K43" s="71" t="inlineStr">
        <is>
          <t>P</t>
        </is>
      </c>
      <c r="L43" s="71" t="inlineStr">
        <is>
          <t>A</t>
        </is>
      </c>
      <c r="M43" s="71" t="inlineStr">
        <is>
          <t>P</t>
        </is>
      </c>
      <c r="N43" s="71" t="inlineStr">
        <is>
          <t>A</t>
        </is>
      </c>
      <c r="O43" s="71" t="inlineStr">
        <is>
          <t>A</t>
        </is>
      </c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>
        <f>COUNTIF(F43:BH43,"P")</f>
        <v/>
      </c>
      <c r="BJ43" s="71">
        <f>SUM((BI43/BI12)*100)</f>
        <v/>
      </c>
    </row>
    <row r="44" ht="21" customHeight="1" s="55">
      <c r="A44" s="73" t="n">
        <v>32</v>
      </c>
      <c r="B44" s="74" t="n">
        <v>2410486</v>
      </c>
      <c r="C44" s="75" t="n">
        <v>3122245002098</v>
      </c>
      <c r="D44" s="76" t="inlineStr">
        <is>
          <t>Shalini G</t>
        </is>
      </c>
      <c r="E44" s="76" t="inlineStr">
        <is>
          <t>shalini2410486@ssn.edu.in</t>
        </is>
      </c>
      <c r="F44" s="71" t="inlineStr">
        <is>
          <t>P</t>
        </is>
      </c>
      <c r="G44" s="71" t="inlineStr">
        <is>
          <t>A</t>
        </is>
      </c>
      <c r="H44" s="71" t="inlineStr">
        <is>
          <t>P</t>
        </is>
      </c>
      <c r="I44" s="71" t="inlineStr">
        <is>
          <t>A</t>
        </is>
      </c>
      <c r="J44" s="71" t="inlineStr">
        <is>
          <t>P</t>
        </is>
      </c>
      <c r="K44" s="71" t="inlineStr">
        <is>
          <t>A</t>
        </is>
      </c>
      <c r="L44" s="71" t="inlineStr">
        <is>
          <t>A</t>
        </is>
      </c>
      <c r="M44" s="71" t="inlineStr">
        <is>
          <t>P</t>
        </is>
      </c>
      <c r="N44" s="71" t="inlineStr">
        <is>
          <t>A</t>
        </is>
      </c>
      <c r="O44" s="71" t="inlineStr">
        <is>
          <t>A</t>
        </is>
      </c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>
        <f>COUNTIF(F44:BH44,"P")</f>
        <v/>
      </c>
      <c r="BJ44" s="71">
        <f>SUM((BI44/BI12)*100)</f>
        <v/>
      </c>
    </row>
    <row r="45" ht="21" customHeight="1" s="55">
      <c r="A45" s="73" t="n">
        <v>33</v>
      </c>
      <c r="B45" s="74" t="n">
        <v>2410569</v>
      </c>
      <c r="C45" s="75" t="n">
        <v>3122245002099</v>
      </c>
      <c r="D45" s="76" t="inlineStr">
        <is>
          <t>Sharaal Jospeen Rani S</t>
        </is>
      </c>
      <c r="E45" s="76" t="inlineStr">
        <is>
          <t>sharaaljospeenrani2410569@ssn.edu.in</t>
        </is>
      </c>
      <c r="F45" s="71" t="inlineStr">
        <is>
          <t>P</t>
        </is>
      </c>
      <c r="G45" s="71" t="inlineStr">
        <is>
          <t>A</t>
        </is>
      </c>
      <c r="H45" s="71" t="inlineStr">
        <is>
          <t>P</t>
        </is>
      </c>
      <c r="I45" s="71" t="inlineStr">
        <is>
          <t>P</t>
        </is>
      </c>
      <c r="J45" s="71" t="inlineStr">
        <is>
          <t>A</t>
        </is>
      </c>
      <c r="K45" s="71" t="inlineStr">
        <is>
          <t>A</t>
        </is>
      </c>
      <c r="L45" s="71" t="inlineStr">
        <is>
          <t>P</t>
        </is>
      </c>
      <c r="M45" s="71" t="inlineStr">
        <is>
          <t>P</t>
        </is>
      </c>
      <c r="N45" s="71" t="inlineStr">
        <is>
          <t>A</t>
        </is>
      </c>
      <c r="O45" s="71" t="inlineStr">
        <is>
          <t>A</t>
        </is>
      </c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>
        <f>COUNTIF(F45:BH45,"P")</f>
        <v/>
      </c>
      <c r="BJ45" s="71">
        <f>SUM((BI45/BI12)*100)</f>
        <v/>
      </c>
    </row>
    <row r="46" ht="21" customHeight="1" s="55">
      <c r="A46" s="73" t="n">
        <v>34</v>
      </c>
      <c r="B46" s="74" t="n">
        <v>2410047</v>
      </c>
      <c r="C46" s="75" t="n">
        <v>3122245002100</v>
      </c>
      <c r="D46" s="76" t="inlineStr">
        <is>
          <t>Shashank V</t>
        </is>
      </c>
      <c r="E46" s="76" t="inlineStr">
        <is>
          <t>shashank2410047@ssn.edu.in</t>
        </is>
      </c>
      <c r="F46" s="71" t="inlineStr">
        <is>
          <t>A</t>
        </is>
      </c>
      <c r="G46" s="71" t="inlineStr">
        <is>
          <t>A</t>
        </is>
      </c>
      <c r="H46" s="71" t="inlineStr">
        <is>
          <t>A</t>
        </is>
      </c>
      <c r="I46" s="71" t="inlineStr">
        <is>
          <t>P</t>
        </is>
      </c>
      <c r="J46" s="71" t="inlineStr">
        <is>
          <t>A</t>
        </is>
      </c>
      <c r="K46" s="71" t="inlineStr">
        <is>
          <t>P</t>
        </is>
      </c>
      <c r="L46" s="71" t="inlineStr">
        <is>
          <t>A</t>
        </is>
      </c>
      <c r="M46" s="71" t="inlineStr">
        <is>
          <t>P</t>
        </is>
      </c>
      <c r="N46" s="71" t="inlineStr">
        <is>
          <t>A</t>
        </is>
      </c>
      <c r="O46" s="71" t="inlineStr">
        <is>
          <t>P</t>
        </is>
      </c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>
        <f>COUNTIF(F46:BH46,"P")</f>
        <v/>
      </c>
      <c r="BJ46" s="71">
        <f>SUM((BI46/BI12)*100)</f>
        <v/>
      </c>
    </row>
    <row r="47" ht="21" customHeight="1" s="55">
      <c r="A47" s="73" t="n">
        <v>35</v>
      </c>
      <c r="B47" s="74" t="n">
        <v>2410184</v>
      </c>
      <c r="C47" s="75" t="n">
        <v>3122245002101</v>
      </c>
      <c r="D47" s="76" t="inlineStr">
        <is>
          <t>Shree M</t>
        </is>
      </c>
      <c r="E47" s="76" t="inlineStr">
        <is>
          <t>shree2410184@ssn.edu.in</t>
        </is>
      </c>
      <c r="F47" s="71" t="inlineStr">
        <is>
          <t>P</t>
        </is>
      </c>
      <c r="G47" s="71" t="inlineStr">
        <is>
          <t>P</t>
        </is>
      </c>
      <c r="H47" s="71" t="inlineStr">
        <is>
          <t>A</t>
        </is>
      </c>
      <c r="I47" s="71" t="inlineStr">
        <is>
          <t>A</t>
        </is>
      </c>
      <c r="J47" s="71" t="inlineStr">
        <is>
          <t>A</t>
        </is>
      </c>
      <c r="K47" s="71" t="inlineStr">
        <is>
          <t>A</t>
        </is>
      </c>
      <c r="L47" s="71" t="inlineStr">
        <is>
          <t>A</t>
        </is>
      </c>
      <c r="M47" s="71" t="inlineStr">
        <is>
          <t>A</t>
        </is>
      </c>
      <c r="N47" s="71" t="inlineStr">
        <is>
          <t>A</t>
        </is>
      </c>
      <c r="O47" s="71" t="inlineStr">
        <is>
          <t>A</t>
        </is>
      </c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>
        <f>COUNTIF(F47:BH47,"P")</f>
        <v/>
      </c>
      <c r="BJ47" s="71">
        <f>SUM((BI47/BI13)*100)</f>
        <v/>
      </c>
    </row>
    <row r="48" ht="21" customHeight="1" s="55">
      <c r="A48" s="73" t="n">
        <v>36</v>
      </c>
      <c r="B48" s="74" t="n">
        <v>2410214</v>
      </c>
      <c r="C48" s="75" t="n">
        <v>3122245002102</v>
      </c>
      <c r="D48" s="76" t="inlineStr">
        <is>
          <t>Shrika Neeharika C</t>
        </is>
      </c>
      <c r="E48" s="76" t="inlineStr">
        <is>
          <t>shrikaneeharika2410214@ssn.edu.in</t>
        </is>
      </c>
      <c r="F48" s="71" t="inlineStr">
        <is>
          <t>A</t>
        </is>
      </c>
      <c r="G48" s="71" t="inlineStr">
        <is>
          <t>P</t>
        </is>
      </c>
      <c r="H48" s="71" t="inlineStr">
        <is>
          <t>P</t>
        </is>
      </c>
      <c r="I48" s="71" t="inlineStr">
        <is>
          <t>A</t>
        </is>
      </c>
      <c r="J48" s="71" t="inlineStr">
        <is>
          <t>P</t>
        </is>
      </c>
      <c r="K48" s="71" t="inlineStr">
        <is>
          <t>A</t>
        </is>
      </c>
      <c r="L48" s="71" t="inlineStr">
        <is>
          <t>P</t>
        </is>
      </c>
      <c r="M48" s="71" t="inlineStr">
        <is>
          <t>A</t>
        </is>
      </c>
      <c r="N48" s="71" t="inlineStr">
        <is>
          <t>P</t>
        </is>
      </c>
      <c r="O48" s="71" t="inlineStr">
        <is>
          <t>A</t>
        </is>
      </c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>
        <f>COUNTIF(F48:BH48,"P")</f>
        <v/>
      </c>
      <c r="BJ48" s="71">
        <f>SUM((BI48/BI12)*100)</f>
        <v/>
      </c>
    </row>
    <row r="49" ht="21" customHeight="1" s="55">
      <c r="A49" s="73" t="n">
        <v>37</v>
      </c>
      <c r="B49" s="74" t="n">
        <v>2410072</v>
      </c>
      <c r="C49" s="75" t="n">
        <v>3122245002103</v>
      </c>
      <c r="D49" s="76" t="inlineStr">
        <is>
          <t>Shrish V V S Sri Kumar Rasamsetty</t>
        </is>
      </c>
      <c r="E49" s="76" t="inlineStr">
        <is>
          <t>shrish2410072@ssn.edu.in</t>
        </is>
      </c>
      <c r="F49" s="71" t="inlineStr">
        <is>
          <t>P</t>
        </is>
      </c>
      <c r="G49" s="71" t="inlineStr">
        <is>
          <t>P</t>
        </is>
      </c>
      <c r="H49" s="71" t="inlineStr">
        <is>
          <t>P</t>
        </is>
      </c>
      <c r="I49" s="71" t="inlineStr">
        <is>
          <t>P</t>
        </is>
      </c>
      <c r="J49" s="71" t="inlineStr">
        <is>
          <t>P</t>
        </is>
      </c>
      <c r="K49" s="71" t="inlineStr">
        <is>
          <t>P</t>
        </is>
      </c>
      <c r="L49" s="71" t="inlineStr">
        <is>
          <t>P</t>
        </is>
      </c>
      <c r="M49" s="71" t="inlineStr">
        <is>
          <t>P</t>
        </is>
      </c>
      <c r="N49" s="71" t="inlineStr">
        <is>
          <t>P</t>
        </is>
      </c>
      <c r="O49" s="71" t="inlineStr">
        <is>
          <t>P</t>
        </is>
      </c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>
        <f>COUNTIF(F49:BH49,"P")</f>
        <v/>
      </c>
      <c r="BJ49" s="71">
        <f>SUM((BI49/BI12)*100)</f>
        <v/>
      </c>
    </row>
    <row r="50" ht="21" customHeight="1" s="55">
      <c r="A50" s="73" t="n">
        <v>38</v>
      </c>
      <c r="B50" s="74" t="n">
        <v>2410533</v>
      </c>
      <c r="C50" s="75" t="n">
        <v>3122245002104</v>
      </c>
      <c r="D50" s="76" t="inlineStr">
        <is>
          <t>Shyam T J</t>
        </is>
      </c>
      <c r="E50" s="76" t="inlineStr">
        <is>
          <t>shyam2410533@ssn.edu.in</t>
        </is>
      </c>
      <c r="F50" s="71" t="inlineStr">
        <is>
          <t>P</t>
        </is>
      </c>
      <c r="G50" s="71" t="inlineStr">
        <is>
          <t>P</t>
        </is>
      </c>
      <c r="H50" s="71" t="inlineStr">
        <is>
          <t>P</t>
        </is>
      </c>
      <c r="I50" s="71" t="inlineStr">
        <is>
          <t>P</t>
        </is>
      </c>
      <c r="J50" s="71" t="inlineStr">
        <is>
          <t>P</t>
        </is>
      </c>
      <c r="K50" s="71" t="inlineStr">
        <is>
          <t>A</t>
        </is>
      </c>
      <c r="L50" s="71" t="inlineStr">
        <is>
          <t>P</t>
        </is>
      </c>
      <c r="M50" s="71" t="inlineStr">
        <is>
          <t>A</t>
        </is>
      </c>
      <c r="N50" s="71" t="inlineStr">
        <is>
          <t>P</t>
        </is>
      </c>
      <c r="O50" s="71" t="inlineStr">
        <is>
          <t>P</t>
        </is>
      </c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>
        <f>COUNTIF(F50:BH50,"P")</f>
        <v/>
      </c>
      <c r="BJ50" s="71">
        <f>SUM((BI50/BI12)*100)</f>
        <v/>
      </c>
    </row>
    <row r="51" ht="21" customHeight="1" s="55">
      <c r="A51" s="73" t="n">
        <v>39</v>
      </c>
      <c r="B51" s="74" t="n">
        <v>2410457</v>
      </c>
      <c r="C51" s="75" t="n">
        <v>3122245002105</v>
      </c>
      <c r="D51" s="76" t="inlineStr">
        <is>
          <t>Siva Hari Raj S T</t>
        </is>
      </c>
      <c r="E51" s="76" t="inlineStr">
        <is>
          <t>sivahariraj2410457@ssn.edu.in</t>
        </is>
      </c>
      <c r="F51" s="71" t="inlineStr">
        <is>
          <t>P</t>
        </is>
      </c>
      <c r="G51" s="71" t="inlineStr">
        <is>
          <t>A</t>
        </is>
      </c>
      <c r="H51" s="71" t="inlineStr">
        <is>
          <t>P</t>
        </is>
      </c>
      <c r="I51" s="71" t="inlineStr">
        <is>
          <t>A</t>
        </is>
      </c>
      <c r="J51" s="71" t="inlineStr">
        <is>
          <t>A</t>
        </is>
      </c>
      <c r="K51" s="71" t="inlineStr">
        <is>
          <t>A</t>
        </is>
      </c>
      <c r="L51" s="71" t="inlineStr">
        <is>
          <t>P</t>
        </is>
      </c>
      <c r="M51" s="71" t="inlineStr">
        <is>
          <t>A</t>
        </is>
      </c>
      <c r="N51" s="71" t="inlineStr">
        <is>
          <t>A</t>
        </is>
      </c>
      <c r="O51" s="71" t="inlineStr">
        <is>
          <t>A</t>
        </is>
      </c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>
        <f>COUNTIF(F51:BH51,"P")</f>
        <v/>
      </c>
      <c r="BJ51" s="71">
        <f>SUM((BI51/BI12)*100)</f>
        <v/>
      </c>
    </row>
    <row r="52" ht="21" customHeight="1" s="55">
      <c r="A52" s="73" t="n">
        <v>40</v>
      </c>
      <c r="B52" s="74" t="n">
        <v>2410759</v>
      </c>
      <c r="C52" s="75" t="n">
        <v>3122245002106</v>
      </c>
      <c r="D52" s="76" t="inlineStr">
        <is>
          <t>Sivaprasanth K</t>
        </is>
      </c>
      <c r="E52" s="76" t="inlineStr">
        <is>
          <t>sivaprasanth2410759@ssn.edu.in</t>
        </is>
      </c>
      <c r="F52" s="71" t="inlineStr">
        <is>
          <t>A</t>
        </is>
      </c>
      <c r="G52" s="71" t="inlineStr">
        <is>
          <t>A</t>
        </is>
      </c>
      <c r="H52" s="71" t="inlineStr">
        <is>
          <t>P</t>
        </is>
      </c>
      <c r="I52" s="71" t="inlineStr">
        <is>
          <t>A</t>
        </is>
      </c>
      <c r="J52" s="71" t="inlineStr">
        <is>
          <t>P</t>
        </is>
      </c>
      <c r="K52" s="71" t="inlineStr">
        <is>
          <t>A</t>
        </is>
      </c>
      <c r="L52" s="71" t="inlineStr">
        <is>
          <t>P</t>
        </is>
      </c>
      <c r="M52" s="71" t="inlineStr">
        <is>
          <t>A</t>
        </is>
      </c>
      <c r="N52" s="71" t="inlineStr">
        <is>
          <t>P</t>
        </is>
      </c>
      <c r="O52" s="71" t="inlineStr">
        <is>
          <t>A</t>
        </is>
      </c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>
        <f>COUNTIF(F52:BH52,"P")</f>
        <v/>
      </c>
      <c r="BJ52" s="71">
        <f>SUM((BI52/BI12)*100)</f>
        <v/>
      </c>
    </row>
    <row r="53" ht="21" customHeight="1" s="55">
      <c r="A53" s="73" t="n">
        <v>41</v>
      </c>
      <c r="B53" s="74" t="n">
        <v>2410530</v>
      </c>
      <c r="C53" s="75" t="n">
        <v>3122245002107</v>
      </c>
      <c r="D53" s="76" t="inlineStr">
        <is>
          <t>Sreenath G</t>
        </is>
      </c>
      <c r="E53" s="76" t="inlineStr">
        <is>
          <t>sreenath2410530@ssn.edu.in</t>
        </is>
      </c>
      <c r="F53" s="71" t="inlineStr">
        <is>
          <t>P</t>
        </is>
      </c>
      <c r="G53" s="71" t="inlineStr">
        <is>
          <t>A</t>
        </is>
      </c>
      <c r="H53" s="71" t="inlineStr">
        <is>
          <t>P</t>
        </is>
      </c>
      <c r="I53" s="71" t="inlineStr">
        <is>
          <t>P</t>
        </is>
      </c>
      <c r="J53" s="71" t="inlineStr">
        <is>
          <t>P</t>
        </is>
      </c>
      <c r="K53" s="71" t="inlineStr">
        <is>
          <t>A</t>
        </is>
      </c>
      <c r="L53" s="71" t="inlineStr">
        <is>
          <t>P</t>
        </is>
      </c>
      <c r="M53" s="71" t="inlineStr">
        <is>
          <t>P</t>
        </is>
      </c>
      <c r="N53" s="71" t="inlineStr">
        <is>
          <t>P</t>
        </is>
      </c>
      <c r="O53" s="71" t="inlineStr">
        <is>
          <t>A</t>
        </is>
      </c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>
        <f>COUNTIF(F53:BH53,"P")</f>
        <v/>
      </c>
      <c r="BJ53" s="71">
        <f>SUM((BI53/BI12)*100)</f>
        <v/>
      </c>
    </row>
    <row r="54" ht="21" customHeight="1" s="55">
      <c r="A54" s="73" t="n">
        <v>42</v>
      </c>
      <c r="B54" s="74" t="n">
        <v>2410089</v>
      </c>
      <c r="C54" s="75" t="n">
        <v>3122245002108</v>
      </c>
      <c r="D54" s="76" t="inlineStr">
        <is>
          <t>Sri Subhiksha T</t>
        </is>
      </c>
      <c r="E54" s="76" t="inlineStr">
        <is>
          <t>sri2410089@ssn.edu.in</t>
        </is>
      </c>
      <c r="F54" s="71" t="inlineStr">
        <is>
          <t>A</t>
        </is>
      </c>
      <c r="G54" s="71" t="inlineStr">
        <is>
          <t>P</t>
        </is>
      </c>
      <c r="H54" s="71" t="inlineStr">
        <is>
          <t>P</t>
        </is>
      </c>
      <c r="I54" s="71" t="inlineStr">
        <is>
          <t>P</t>
        </is>
      </c>
      <c r="J54" s="71" t="inlineStr">
        <is>
          <t>P</t>
        </is>
      </c>
      <c r="K54" s="71" t="inlineStr">
        <is>
          <t>A</t>
        </is>
      </c>
      <c r="L54" s="71" t="inlineStr">
        <is>
          <t>P</t>
        </is>
      </c>
      <c r="M54" s="71" t="inlineStr">
        <is>
          <t>P</t>
        </is>
      </c>
      <c r="N54" s="71" t="inlineStr">
        <is>
          <t>A</t>
        </is>
      </c>
      <c r="O54" s="71" t="inlineStr">
        <is>
          <t>A</t>
        </is>
      </c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>
        <f>COUNTIF(F54:BH54,"P")</f>
        <v/>
      </c>
      <c r="BJ54" s="71">
        <f>SUM((BI54/BI12)*100)</f>
        <v/>
      </c>
    </row>
    <row r="55" ht="21" customHeight="1" s="55">
      <c r="A55" s="73" t="n">
        <v>43</v>
      </c>
      <c r="B55" s="74" t="n">
        <v>2410307</v>
      </c>
      <c r="C55" s="75" t="n">
        <v>3122245002109</v>
      </c>
      <c r="D55" s="76" t="inlineStr">
        <is>
          <t>Srimathi B</t>
        </is>
      </c>
      <c r="E55" s="76" t="inlineStr">
        <is>
          <t>srimathi2410307@ssn.edu.in</t>
        </is>
      </c>
      <c r="F55" s="71" t="inlineStr">
        <is>
          <t>P</t>
        </is>
      </c>
      <c r="G55" s="71" t="inlineStr">
        <is>
          <t>P</t>
        </is>
      </c>
      <c r="H55" s="71" t="inlineStr">
        <is>
          <t>P</t>
        </is>
      </c>
      <c r="I55" s="71" t="inlineStr">
        <is>
          <t>P</t>
        </is>
      </c>
      <c r="J55" s="71" t="inlineStr">
        <is>
          <t>A</t>
        </is>
      </c>
      <c r="K55" s="71" t="inlineStr">
        <is>
          <t>A</t>
        </is>
      </c>
      <c r="L55" s="71" t="inlineStr">
        <is>
          <t>A</t>
        </is>
      </c>
      <c r="M55" s="71" t="inlineStr">
        <is>
          <t>P</t>
        </is>
      </c>
      <c r="N55" s="71" t="inlineStr">
        <is>
          <t>A</t>
        </is>
      </c>
      <c r="O55" s="71" t="inlineStr">
        <is>
          <t xml:space="preserve">          A</t>
        </is>
      </c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>
        <f>COUNTIF(F55:BH55,"P")</f>
        <v/>
      </c>
      <c r="BJ55" s="71">
        <f>SUM((BI55/BI12)*100)</f>
        <v/>
      </c>
    </row>
    <row r="56" ht="21" customHeight="1" s="55">
      <c r="A56" s="73" t="n">
        <v>44</v>
      </c>
      <c r="B56" s="74" t="n">
        <v>2410315</v>
      </c>
      <c r="C56" s="75" t="n">
        <v>3122245002110</v>
      </c>
      <c r="D56" s="76" t="inlineStr">
        <is>
          <t>Sriram R</t>
        </is>
      </c>
      <c r="E56" s="76" t="inlineStr">
        <is>
          <t>sriram2410315@ssn.edu.in</t>
        </is>
      </c>
      <c r="F56" s="71" t="inlineStr">
        <is>
          <t>A</t>
        </is>
      </c>
      <c r="G56" s="71" t="inlineStr">
        <is>
          <t>A</t>
        </is>
      </c>
      <c r="H56" s="71" t="inlineStr">
        <is>
          <t>A</t>
        </is>
      </c>
      <c r="I56" s="71" t="inlineStr">
        <is>
          <t>P</t>
        </is>
      </c>
      <c r="J56" s="71" t="inlineStr">
        <is>
          <t>P</t>
        </is>
      </c>
      <c r="K56" s="71" t="inlineStr">
        <is>
          <t>A</t>
        </is>
      </c>
      <c r="L56" s="71" t="inlineStr">
        <is>
          <t>A</t>
        </is>
      </c>
      <c r="M56" s="71" t="inlineStr">
        <is>
          <t>P</t>
        </is>
      </c>
      <c r="N56" s="71" t="inlineStr">
        <is>
          <t>P</t>
        </is>
      </c>
      <c r="O56" s="71" t="inlineStr">
        <is>
          <t>A</t>
        </is>
      </c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>
        <f>COUNTIF(F56:BH56,"P")</f>
        <v/>
      </c>
      <c r="BJ56" s="71">
        <f>SUM((BI56/BI12)*100)</f>
        <v/>
      </c>
    </row>
    <row r="57" ht="21" customHeight="1" s="55">
      <c r="A57" s="73" t="n">
        <v>45</v>
      </c>
      <c r="B57" s="74" t="n">
        <v>2410777</v>
      </c>
      <c r="C57" s="75" t="n">
        <v>3122245002111</v>
      </c>
      <c r="D57" s="76" t="inlineStr">
        <is>
          <t>Srivarshan S</t>
        </is>
      </c>
      <c r="E57" s="76" t="inlineStr">
        <is>
          <t>srivarshan2410777@ssn.edu.in</t>
        </is>
      </c>
      <c r="F57" s="71" t="inlineStr">
        <is>
          <t>P</t>
        </is>
      </c>
      <c r="G57" s="71" t="inlineStr">
        <is>
          <t>P</t>
        </is>
      </c>
      <c r="H57" s="71" t="inlineStr">
        <is>
          <t>P</t>
        </is>
      </c>
      <c r="I57" s="71" t="inlineStr">
        <is>
          <t>A</t>
        </is>
      </c>
      <c r="J57" s="71" t="inlineStr">
        <is>
          <t>A</t>
        </is>
      </c>
      <c r="K57" s="71" t="inlineStr">
        <is>
          <t>A</t>
        </is>
      </c>
      <c r="L57" s="71" t="inlineStr">
        <is>
          <t>P</t>
        </is>
      </c>
      <c r="M57" s="71" t="inlineStr">
        <is>
          <t>A</t>
        </is>
      </c>
      <c r="N57" s="71" t="inlineStr">
        <is>
          <t>A</t>
        </is>
      </c>
      <c r="O57" s="71" t="inlineStr">
        <is>
          <t>P</t>
        </is>
      </c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1" t="n"/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>
        <f>COUNTIF(F57:BH57,"P")</f>
        <v/>
      </c>
      <c r="BJ57" s="71">
        <f>SUM((BI57/BI12)*100)</f>
        <v/>
      </c>
    </row>
    <row r="58" ht="21" customHeight="1" s="55">
      <c r="A58" s="73" t="n">
        <v>46</v>
      </c>
      <c r="B58" s="74" t="n">
        <v>2410345</v>
      </c>
      <c r="C58" s="75" t="n">
        <v>3122245002112</v>
      </c>
      <c r="D58" s="76" t="inlineStr">
        <is>
          <t>Srivathsan G</t>
        </is>
      </c>
      <c r="E58" s="76" t="inlineStr">
        <is>
          <t>srivathsan2410345@ssn.edu.in</t>
        </is>
      </c>
      <c r="F58" s="71" t="inlineStr">
        <is>
          <t>P</t>
        </is>
      </c>
      <c r="G58" s="71" t="inlineStr">
        <is>
          <t>A</t>
        </is>
      </c>
      <c r="H58" s="71" t="inlineStr">
        <is>
          <t>P</t>
        </is>
      </c>
      <c r="I58" s="71" t="inlineStr">
        <is>
          <t>P</t>
        </is>
      </c>
      <c r="J58" s="71" t="inlineStr">
        <is>
          <t>P</t>
        </is>
      </c>
      <c r="K58" s="71" t="inlineStr">
        <is>
          <t>P</t>
        </is>
      </c>
      <c r="L58" s="71" t="inlineStr">
        <is>
          <t>A</t>
        </is>
      </c>
      <c r="M58" s="71" t="inlineStr">
        <is>
          <t>A</t>
        </is>
      </c>
      <c r="N58" s="71" t="inlineStr">
        <is>
          <t>P</t>
        </is>
      </c>
      <c r="O58" s="71" t="inlineStr">
        <is>
          <t>A</t>
        </is>
      </c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1" t="n"/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>
        <f>COUNTIF(F58:BH58,"P")</f>
        <v/>
      </c>
      <c r="BJ58" s="71">
        <f>SUM((BI58/BI12)*100)</f>
        <v/>
      </c>
    </row>
    <row r="59" ht="21" customHeight="1" s="55">
      <c r="A59" s="73" t="n">
        <v>47</v>
      </c>
      <c r="B59" s="74" t="n">
        <v>2410867</v>
      </c>
      <c r="C59" s="75" t="n">
        <v>3122245002113</v>
      </c>
      <c r="D59" s="76" t="inlineStr">
        <is>
          <t>Sudharsan S</t>
        </is>
      </c>
      <c r="E59" s="76" t="inlineStr">
        <is>
          <t>sudharsan2410867@ssn.edu.in</t>
        </is>
      </c>
      <c r="F59" s="71" t="inlineStr">
        <is>
          <t>P</t>
        </is>
      </c>
      <c r="G59" s="71" t="inlineStr">
        <is>
          <t>P</t>
        </is>
      </c>
      <c r="H59" s="71" t="inlineStr">
        <is>
          <t>P</t>
        </is>
      </c>
      <c r="I59" s="71" t="inlineStr">
        <is>
          <t>A</t>
        </is>
      </c>
      <c r="J59" s="71" t="inlineStr">
        <is>
          <t>P</t>
        </is>
      </c>
      <c r="K59" s="71" t="inlineStr">
        <is>
          <t>A</t>
        </is>
      </c>
      <c r="L59" s="71" t="inlineStr">
        <is>
          <t>A</t>
        </is>
      </c>
      <c r="M59" s="71" t="inlineStr">
        <is>
          <t>A</t>
        </is>
      </c>
      <c r="N59" s="71" t="inlineStr">
        <is>
          <t>P</t>
        </is>
      </c>
      <c r="O59" s="71" t="inlineStr">
        <is>
          <t>P</t>
        </is>
      </c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1" t="n"/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>
        <f>COUNTIF(F59:BH59,"P")</f>
        <v/>
      </c>
      <c r="BJ59" s="71">
        <f>SUM((BI59/BI12)*100)</f>
        <v/>
      </c>
    </row>
    <row r="60" ht="21" customHeight="1" s="55">
      <c r="A60" s="73" t="n">
        <v>48</v>
      </c>
      <c r="B60" s="74" t="n">
        <v>2410309</v>
      </c>
      <c r="C60" s="75" t="n">
        <v>3122245002114</v>
      </c>
      <c r="D60" s="76" t="inlineStr">
        <is>
          <t>Sunitha Adluru</t>
        </is>
      </c>
      <c r="E60" s="76" t="inlineStr">
        <is>
          <t>sunitha2410309@ssn.edu.in</t>
        </is>
      </c>
      <c r="F60" s="71" t="inlineStr">
        <is>
          <t>P</t>
        </is>
      </c>
      <c r="G60" s="71" t="inlineStr">
        <is>
          <t>P</t>
        </is>
      </c>
      <c r="H60" s="71" t="inlineStr">
        <is>
          <t>P</t>
        </is>
      </c>
      <c r="I60" s="71" t="inlineStr">
        <is>
          <t>A</t>
        </is>
      </c>
      <c r="J60" s="71" t="inlineStr">
        <is>
          <t>P</t>
        </is>
      </c>
      <c r="K60" s="71" t="inlineStr">
        <is>
          <t>A</t>
        </is>
      </c>
      <c r="L60" s="71" t="inlineStr">
        <is>
          <t>P</t>
        </is>
      </c>
      <c r="M60" s="71" t="inlineStr">
        <is>
          <t>P</t>
        </is>
      </c>
      <c r="N60" s="71" t="inlineStr">
        <is>
          <t>A</t>
        </is>
      </c>
      <c r="O60" s="71" t="inlineStr">
        <is>
          <t>A</t>
        </is>
      </c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>
        <f>COUNTIF(F60:BH60,"P")</f>
        <v/>
      </c>
      <c r="BJ60" s="71">
        <f>SUM((BI60/BI12)*100)</f>
        <v/>
      </c>
    </row>
    <row r="61" ht="21" customHeight="1" s="55">
      <c r="A61" s="73" t="n">
        <v>49</v>
      </c>
      <c r="B61" s="74" t="n">
        <v>2410404</v>
      </c>
      <c r="C61" s="75" t="n">
        <v>3122245002115</v>
      </c>
      <c r="D61" s="76" t="inlineStr">
        <is>
          <t>Supritha R</t>
        </is>
      </c>
      <c r="E61" s="76" t="inlineStr">
        <is>
          <t>supritha2410404@ssn.edu.in</t>
        </is>
      </c>
      <c r="F61" s="71" t="inlineStr">
        <is>
          <t>P</t>
        </is>
      </c>
      <c r="G61" s="71" t="inlineStr">
        <is>
          <t>P</t>
        </is>
      </c>
      <c r="H61" s="71" t="inlineStr">
        <is>
          <t>P</t>
        </is>
      </c>
      <c r="I61" s="71" t="inlineStr">
        <is>
          <t>P</t>
        </is>
      </c>
      <c r="J61" s="71" t="inlineStr">
        <is>
          <t>P</t>
        </is>
      </c>
      <c r="K61" s="71" t="inlineStr">
        <is>
          <t>A</t>
        </is>
      </c>
      <c r="L61" s="71" t="inlineStr">
        <is>
          <t>P</t>
        </is>
      </c>
      <c r="M61" s="71" t="inlineStr">
        <is>
          <t>A</t>
        </is>
      </c>
      <c r="N61" s="71" t="inlineStr">
        <is>
          <t>P</t>
        </is>
      </c>
      <c r="O61" s="71" t="inlineStr">
        <is>
          <t>P</t>
        </is>
      </c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1" t="n"/>
      <c r="AE61" s="71" t="n"/>
      <c r="AF61" s="71" t="n"/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1" t="n"/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>
        <f>COUNTIF(F61:BH61,"P")</f>
        <v/>
      </c>
      <c r="BJ61" s="71">
        <f>SUM((BI61/BI12)*100)</f>
        <v/>
      </c>
    </row>
    <row r="62" ht="21" customHeight="1" s="55">
      <c r="A62" s="73" t="n">
        <v>50</v>
      </c>
      <c r="B62" s="74" t="n">
        <v>2410239</v>
      </c>
      <c r="C62" s="75" t="n">
        <v>3122245002116</v>
      </c>
      <c r="D62" s="76" t="inlineStr">
        <is>
          <t>Sweta Sri P</t>
        </is>
      </c>
      <c r="E62" s="76" t="inlineStr">
        <is>
          <t>swetasri2410239@ssn.edu.in</t>
        </is>
      </c>
      <c r="F62" s="71" t="inlineStr">
        <is>
          <t>P</t>
        </is>
      </c>
      <c r="G62" s="71" t="inlineStr">
        <is>
          <t>P</t>
        </is>
      </c>
      <c r="H62" s="71" t="inlineStr">
        <is>
          <t>P</t>
        </is>
      </c>
      <c r="I62" s="71" t="inlineStr">
        <is>
          <t>P</t>
        </is>
      </c>
      <c r="J62" s="71" t="inlineStr">
        <is>
          <t>P</t>
        </is>
      </c>
      <c r="K62" s="71" t="inlineStr">
        <is>
          <t>A</t>
        </is>
      </c>
      <c r="L62" s="71" t="inlineStr">
        <is>
          <t>P</t>
        </is>
      </c>
      <c r="M62" s="71" t="inlineStr">
        <is>
          <t>P</t>
        </is>
      </c>
      <c r="N62" s="71" t="inlineStr">
        <is>
          <t>A</t>
        </is>
      </c>
      <c r="O62" s="71" t="inlineStr">
        <is>
          <t>A</t>
        </is>
      </c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1" t="n"/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>
        <f>COUNTIF(F62:BH62,"P")</f>
        <v/>
      </c>
      <c r="BJ62" s="71">
        <f>SUM((BI62/BI12)*100)</f>
        <v/>
      </c>
    </row>
    <row r="63" ht="21" customHeight="1" s="55">
      <c r="A63" s="73" t="n">
        <v>51</v>
      </c>
      <c r="B63" s="74" t="n">
        <v>2410247</v>
      </c>
      <c r="C63" s="75" t="n">
        <v>3122245002117</v>
      </c>
      <c r="D63" s="76" t="inlineStr">
        <is>
          <t>Tejaswin Bhola</t>
        </is>
      </c>
      <c r="E63" s="76" t="inlineStr">
        <is>
          <t>tejaswin2410247@ssn.edu.in</t>
        </is>
      </c>
      <c r="F63" s="71" t="inlineStr">
        <is>
          <t>P</t>
        </is>
      </c>
      <c r="G63" s="71" t="inlineStr">
        <is>
          <t>P</t>
        </is>
      </c>
      <c r="H63" s="71" t="inlineStr">
        <is>
          <t>P</t>
        </is>
      </c>
      <c r="I63" s="71" t="inlineStr">
        <is>
          <t>A</t>
        </is>
      </c>
      <c r="J63" s="71" t="inlineStr">
        <is>
          <t>P</t>
        </is>
      </c>
      <c r="K63" s="71" t="inlineStr">
        <is>
          <t>A</t>
        </is>
      </c>
      <c r="L63" s="71" t="inlineStr">
        <is>
          <t>P</t>
        </is>
      </c>
      <c r="M63" s="71" t="inlineStr">
        <is>
          <t>P</t>
        </is>
      </c>
      <c r="N63" s="71" t="inlineStr">
        <is>
          <t>A</t>
        </is>
      </c>
      <c r="O63" s="71" t="inlineStr">
        <is>
          <t>P</t>
        </is>
      </c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>
        <f>COUNTIF(F63:BH63,"P")</f>
        <v/>
      </c>
      <c r="BJ63" s="71">
        <f>SUM((BI63/BI12)*100)</f>
        <v/>
      </c>
    </row>
    <row r="64" ht="21" customHeight="1" s="55">
      <c r="A64" s="73" t="n">
        <v>52</v>
      </c>
      <c r="B64" s="74" t="n">
        <v>2410699</v>
      </c>
      <c r="C64" s="75" t="n">
        <v>3122245002118</v>
      </c>
      <c r="D64" s="76" t="inlineStr">
        <is>
          <t>Thamizhini R</t>
        </is>
      </c>
      <c r="E64" s="76" t="inlineStr">
        <is>
          <t>thamizhini2410699@ssn.edu.in</t>
        </is>
      </c>
      <c r="F64" s="71" t="inlineStr">
        <is>
          <t>A</t>
        </is>
      </c>
      <c r="G64" s="71" t="inlineStr">
        <is>
          <t>P</t>
        </is>
      </c>
      <c r="H64" s="71" t="inlineStr">
        <is>
          <t>A</t>
        </is>
      </c>
      <c r="I64" s="71" t="inlineStr">
        <is>
          <t>A</t>
        </is>
      </c>
      <c r="J64" s="71" t="inlineStr">
        <is>
          <t>P</t>
        </is>
      </c>
      <c r="K64" s="71" t="inlineStr">
        <is>
          <t>A</t>
        </is>
      </c>
      <c r="L64" s="71" t="inlineStr">
        <is>
          <t>P</t>
        </is>
      </c>
      <c r="M64" s="71" t="inlineStr">
        <is>
          <t>P</t>
        </is>
      </c>
      <c r="N64" s="71" t="inlineStr">
        <is>
          <t>A</t>
        </is>
      </c>
      <c r="O64" s="71" t="inlineStr">
        <is>
          <t>P</t>
        </is>
      </c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>
        <f>COUNTIF(F64:BH64,"P")</f>
        <v/>
      </c>
      <c r="BJ64" s="71">
        <f>SUM((BI64/BI12)*100)</f>
        <v/>
      </c>
    </row>
    <row r="65" ht="21" customHeight="1" s="55">
      <c r="A65" s="73" t="n">
        <v>53</v>
      </c>
      <c r="B65" s="74" t="n">
        <v>2410405</v>
      </c>
      <c r="C65" s="75" t="n">
        <v>3122245002119</v>
      </c>
      <c r="D65" s="76" t="inlineStr">
        <is>
          <t>Tharun Balaji M</t>
        </is>
      </c>
      <c r="E65" s="76" t="inlineStr">
        <is>
          <t>tharunbalaji2410405@ssn.edu.in</t>
        </is>
      </c>
      <c r="F65" s="71" t="inlineStr">
        <is>
          <t>P</t>
        </is>
      </c>
      <c r="G65" s="71" t="inlineStr">
        <is>
          <t>A</t>
        </is>
      </c>
      <c r="H65" s="71" t="inlineStr">
        <is>
          <t>P</t>
        </is>
      </c>
      <c r="I65" s="71" t="inlineStr">
        <is>
          <t>A</t>
        </is>
      </c>
      <c r="J65" s="71" t="inlineStr">
        <is>
          <t>P</t>
        </is>
      </c>
      <c r="K65" s="71" t="inlineStr">
        <is>
          <t>A</t>
        </is>
      </c>
      <c r="L65" s="71" t="inlineStr">
        <is>
          <t>A</t>
        </is>
      </c>
      <c r="M65" s="71" t="inlineStr">
        <is>
          <t>A</t>
        </is>
      </c>
      <c r="N65" s="71" t="inlineStr">
        <is>
          <t>P</t>
        </is>
      </c>
      <c r="O65" s="71" t="inlineStr">
        <is>
          <t>P</t>
        </is>
      </c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1" t="n"/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>
        <f>COUNTIF(F65:BH65,"P")</f>
        <v/>
      </c>
      <c r="BJ65" s="71">
        <f>SUM((BI65/BI12)*100)</f>
        <v/>
      </c>
    </row>
    <row r="66" ht="21" customHeight="1" s="55">
      <c r="A66" s="73" t="n">
        <v>54</v>
      </c>
      <c r="B66" s="74" t="n">
        <v>2410785</v>
      </c>
      <c r="C66" s="75" t="n">
        <v>3122245002120</v>
      </c>
      <c r="D66" s="76" t="inlineStr">
        <is>
          <t>Thavasi M</t>
        </is>
      </c>
      <c r="E66" s="76" t="inlineStr">
        <is>
          <t>thavasi2410785@ssn.edu.in</t>
        </is>
      </c>
      <c r="F66" s="71" t="inlineStr">
        <is>
          <t>P</t>
        </is>
      </c>
      <c r="G66" s="71" t="inlineStr">
        <is>
          <t>P</t>
        </is>
      </c>
      <c r="H66" s="71" t="inlineStr">
        <is>
          <t>P</t>
        </is>
      </c>
      <c r="I66" s="71" t="inlineStr">
        <is>
          <t>P</t>
        </is>
      </c>
      <c r="J66" s="71" t="inlineStr">
        <is>
          <t>A</t>
        </is>
      </c>
      <c r="K66" s="71" t="inlineStr">
        <is>
          <t>P</t>
        </is>
      </c>
      <c r="L66" s="71" t="inlineStr">
        <is>
          <t>A</t>
        </is>
      </c>
      <c r="M66" s="71" t="inlineStr">
        <is>
          <t>A</t>
        </is>
      </c>
      <c r="N66" s="71" t="inlineStr">
        <is>
          <t>P</t>
        </is>
      </c>
      <c r="O66" s="71" t="inlineStr">
        <is>
          <t>A</t>
        </is>
      </c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1" t="n"/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>
        <f>COUNTIF(F66:BH66,"P")</f>
        <v/>
      </c>
      <c r="BJ66" s="71">
        <f>SUM((BI66/BI12)*100)</f>
        <v/>
      </c>
    </row>
    <row r="67" ht="21" customHeight="1" s="55">
      <c r="A67" s="73" t="n">
        <v>55</v>
      </c>
      <c r="B67" s="74" t="n">
        <v>2410584</v>
      </c>
      <c r="C67" s="75" t="n">
        <v>3122245002121</v>
      </c>
      <c r="D67" s="76" t="inlineStr">
        <is>
          <t>Thirukkumaran V M</t>
        </is>
      </c>
      <c r="E67" s="76" t="inlineStr">
        <is>
          <t>thirukkumaran2410584@ssn.edu.in</t>
        </is>
      </c>
      <c r="F67" s="71" t="inlineStr">
        <is>
          <t>A</t>
        </is>
      </c>
      <c r="G67" s="71" t="inlineStr">
        <is>
          <t>P</t>
        </is>
      </c>
      <c r="H67" s="71" t="inlineStr">
        <is>
          <t>P</t>
        </is>
      </c>
      <c r="I67" s="71" t="inlineStr">
        <is>
          <t>A</t>
        </is>
      </c>
      <c r="J67" s="71" t="inlineStr">
        <is>
          <t>P</t>
        </is>
      </c>
      <c r="K67" s="71" t="inlineStr">
        <is>
          <t>P</t>
        </is>
      </c>
      <c r="L67" s="71" t="inlineStr">
        <is>
          <t>P</t>
        </is>
      </c>
      <c r="M67" s="71" t="inlineStr">
        <is>
          <t>P</t>
        </is>
      </c>
      <c r="N67" s="71" t="inlineStr">
        <is>
          <t>A</t>
        </is>
      </c>
      <c r="O67" s="71" t="inlineStr">
        <is>
          <t>P</t>
        </is>
      </c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1" t="n"/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>
        <f>COUNTIF(F67:BH67,"P")</f>
        <v/>
      </c>
      <c r="BJ67" s="71">
        <f>SUM((BI67/BI12)*100)</f>
        <v/>
      </c>
    </row>
    <row r="68" ht="21" customHeight="1" s="55">
      <c r="A68" s="73" t="n">
        <v>56</v>
      </c>
      <c r="B68" s="74" t="n">
        <v>2410413</v>
      </c>
      <c r="C68" s="75" t="n">
        <v>3122245002122</v>
      </c>
      <c r="D68" s="76" t="inlineStr">
        <is>
          <t>Varsha M</t>
        </is>
      </c>
      <c r="E68" s="76" t="inlineStr">
        <is>
          <t>varsha2410413@ssn.edu.in</t>
        </is>
      </c>
      <c r="F68" s="71" t="inlineStr">
        <is>
          <t>A</t>
        </is>
      </c>
      <c r="G68" s="71" t="inlineStr">
        <is>
          <t>P</t>
        </is>
      </c>
      <c r="H68" s="71" t="inlineStr">
        <is>
          <t>P</t>
        </is>
      </c>
      <c r="I68" s="71" t="inlineStr">
        <is>
          <t>P</t>
        </is>
      </c>
      <c r="J68" s="71" t="inlineStr">
        <is>
          <t>P</t>
        </is>
      </c>
      <c r="K68" s="71" t="inlineStr">
        <is>
          <t>A</t>
        </is>
      </c>
      <c r="L68" s="71" t="inlineStr">
        <is>
          <t>P</t>
        </is>
      </c>
      <c r="M68" s="71" t="inlineStr">
        <is>
          <t>A</t>
        </is>
      </c>
      <c r="N68" s="71" t="inlineStr">
        <is>
          <t>P</t>
        </is>
      </c>
      <c r="O68" s="71" t="inlineStr">
        <is>
          <t>P</t>
        </is>
      </c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1" t="n"/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>
        <f>COUNTIF(F68:BH68,"P")</f>
        <v/>
      </c>
      <c r="BJ68" s="71">
        <f>SUM((BI68/BI12)*100)</f>
        <v/>
      </c>
    </row>
    <row r="69" ht="21" customHeight="1" s="55">
      <c r="A69" s="73" t="n">
        <v>57</v>
      </c>
      <c r="B69" s="74" t="n">
        <v>2410848</v>
      </c>
      <c r="C69" s="75" t="n">
        <v>3122245002123</v>
      </c>
      <c r="D69" s="76" t="inlineStr">
        <is>
          <t>Varsha S</t>
        </is>
      </c>
      <c r="E69" s="76" t="inlineStr">
        <is>
          <t>varsha2410848@ssn.edu.in</t>
        </is>
      </c>
      <c r="F69" s="71" t="inlineStr">
        <is>
          <t>A</t>
        </is>
      </c>
      <c r="G69" s="71" t="inlineStr">
        <is>
          <t>P</t>
        </is>
      </c>
      <c r="H69" s="71" t="inlineStr">
        <is>
          <t>P</t>
        </is>
      </c>
      <c r="I69" s="71" t="inlineStr">
        <is>
          <t>A</t>
        </is>
      </c>
      <c r="J69" s="71" t="inlineStr">
        <is>
          <t>A</t>
        </is>
      </c>
      <c r="K69" s="71" t="inlineStr">
        <is>
          <t>P</t>
        </is>
      </c>
      <c r="L69" s="71" t="inlineStr">
        <is>
          <t>A</t>
        </is>
      </c>
      <c r="M69" s="71" t="inlineStr">
        <is>
          <t>A</t>
        </is>
      </c>
      <c r="N69" s="71" t="inlineStr">
        <is>
          <t>P</t>
        </is>
      </c>
      <c r="O69" s="71" t="inlineStr">
        <is>
          <t>A</t>
        </is>
      </c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1" t="n"/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>
        <f>COUNTIF(F69:BH69,"P")</f>
        <v/>
      </c>
      <c r="BJ69" s="71">
        <f>SUM((BI69/BI12)*100)</f>
        <v/>
      </c>
    </row>
    <row r="70" ht="21" customHeight="1" s="55">
      <c r="A70" s="73" t="n">
        <v>58</v>
      </c>
      <c r="B70" s="74" t="n">
        <v>2410804</v>
      </c>
      <c r="C70" s="75" t="n">
        <v>3122245002124</v>
      </c>
      <c r="D70" s="76" t="inlineStr">
        <is>
          <t>Vijai T</t>
        </is>
      </c>
      <c r="E70" s="76" t="inlineStr">
        <is>
          <t>vijai2410804@ssn.edu.in</t>
        </is>
      </c>
      <c r="F70" s="71" t="inlineStr">
        <is>
          <t>P</t>
        </is>
      </c>
      <c r="G70" s="71" t="inlineStr">
        <is>
          <t>P</t>
        </is>
      </c>
      <c r="H70" s="71" t="inlineStr">
        <is>
          <t>P</t>
        </is>
      </c>
      <c r="I70" s="71" t="inlineStr">
        <is>
          <t>P</t>
        </is>
      </c>
      <c r="J70" s="71" t="inlineStr">
        <is>
          <t>P</t>
        </is>
      </c>
      <c r="K70" s="71" t="inlineStr">
        <is>
          <t>P</t>
        </is>
      </c>
      <c r="L70" s="71" t="inlineStr">
        <is>
          <t>A</t>
        </is>
      </c>
      <c r="M70" s="71" t="inlineStr">
        <is>
          <t>A</t>
        </is>
      </c>
      <c r="N70" s="71" t="inlineStr">
        <is>
          <t>A</t>
        </is>
      </c>
      <c r="O70" s="71" t="inlineStr">
        <is>
          <t>A</t>
        </is>
      </c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  <c r="AJ70" s="71" t="n"/>
      <c r="AK70" s="71" t="n"/>
      <c r="AL70" s="71" t="n"/>
      <c r="AM70" s="71" t="n"/>
      <c r="AN70" s="71" t="n"/>
      <c r="AO70" s="71" t="n"/>
      <c r="AP70" s="71" t="n"/>
      <c r="AQ70" s="71" t="n"/>
      <c r="AR70" s="71" t="n"/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>
        <f>COUNTIF(F70:BH70,"P")</f>
        <v/>
      </c>
      <c r="BJ70" s="71">
        <f>SUM((BI70/BI12)*100)</f>
        <v/>
      </c>
    </row>
    <row r="71" ht="21" customHeight="1" s="55">
      <c r="A71" s="73" t="n">
        <v>59</v>
      </c>
      <c r="B71" s="74" t="n">
        <v>2410586</v>
      </c>
      <c r="C71" s="75" t="n">
        <v>3122245002125</v>
      </c>
      <c r="D71" s="76" t="inlineStr">
        <is>
          <t>Vimal Raj M</t>
        </is>
      </c>
      <c r="E71" s="76" t="inlineStr">
        <is>
          <t>vimalraj2410586@ssn.edu.in</t>
        </is>
      </c>
      <c r="F71" s="71" t="inlineStr">
        <is>
          <t>P</t>
        </is>
      </c>
      <c r="G71" s="71" t="inlineStr">
        <is>
          <t>P</t>
        </is>
      </c>
      <c r="H71" s="71" t="inlineStr">
        <is>
          <t>P</t>
        </is>
      </c>
      <c r="I71" s="71" t="inlineStr">
        <is>
          <t>P</t>
        </is>
      </c>
      <c r="J71" s="71" t="inlineStr">
        <is>
          <t>A</t>
        </is>
      </c>
      <c r="K71" s="71" t="inlineStr">
        <is>
          <t>A</t>
        </is>
      </c>
      <c r="L71" s="71" t="inlineStr">
        <is>
          <t>P</t>
        </is>
      </c>
      <c r="M71" s="71" t="inlineStr">
        <is>
          <t>P</t>
        </is>
      </c>
      <c r="N71" s="71" t="inlineStr">
        <is>
          <t>A</t>
        </is>
      </c>
      <c r="O71" s="71" t="inlineStr">
        <is>
          <t>A</t>
        </is>
      </c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>
        <f>COUNTIF(F71:BH71,"P")</f>
        <v/>
      </c>
      <c r="BJ71" s="71">
        <f>SUM((BI71/BI12)*100)</f>
        <v/>
      </c>
    </row>
    <row r="72" ht="21" customHeight="1" s="55">
      <c r="A72" s="73" t="n">
        <v>60</v>
      </c>
      <c r="B72" s="74" t="n">
        <v>2410781</v>
      </c>
      <c r="C72" s="75" t="n">
        <v>3122245002126</v>
      </c>
      <c r="D72" s="76" t="inlineStr">
        <is>
          <t>Vinobalan K</t>
        </is>
      </c>
      <c r="E72" s="76" t="inlineStr">
        <is>
          <t>vinobalan2410781@ssn.edu.in</t>
        </is>
      </c>
      <c r="F72" s="71" t="inlineStr">
        <is>
          <t>P</t>
        </is>
      </c>
      <c r="G72" s="71" t="inlineStr">
        <is>
          <t>P</t>
        </is>
      </c>
      <c r="H72" s="71" t="inlineStr">
        <is>
          <t>P</t>
        </is>
      </c>
      <c r="I72" s="71" t="inlineStr">
        <is>
          <t>P</t>
        </is>
      </c>
      <c r="J72" s="71" t="inlineStr">
        <is>
          <t>P</t>
        </is>
      </c>
      <c r="K72" s="71" t="inlineStr">
        <is>
          <t>P</t>
        </is>
      </c>
      <c r="L72" s="71" t="inlineStr">
        <is>
          <t>P</t>
        </is>
      </c>
      <c r="M72" s="71" t="inlineStr">
        <is>
          <t>P</t>
        </is>
      </c>
      <c r="N72" s="71" t="inlineStr">
        <is>
          <t>A</t>
        </is>
      </c>
      <c r="O72" s="71" t="inlineStr">
        <is>
          <t>A</t>
        </is>
      </c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>
        <f>COUNTIF(F72:BH72,"P")</f>
        <v/>
      </c>
      <c r="BJ72" s="71">
        <f>SUM((BI72/BI12)*100)</f>
        <v/>
      </c>
    </row>
    <row r="73" ht="21" customHeight="1" s="55">
      <c r="A73" s="73" t="n">
        <v>61</v>
      </c>
      <c r="B73" s="74" t="n">
        <v>2410739</v>
      </c>
      <c r="C73" s="75" t="n">
        <v>3122245002127</v>
      </c>
      <c r="D73" s="76" t="inlineStr">
        <is>
          <t>Vishnu A</t>
        </is>
      </c>
      <c r="E73" s="76" t="inlineStr">
        <is>
          <t>vishnu2410739@ssn.edu.in</t>
        </is>
      </c>
      <c r="F73" s="71" t="inlineStr">
        <is>
          <t>P</t>
        </is>
      </c>
      <c r="G73" s="71" t="inlineStr">
        <is>
          <t>P</t>
        </is>
      </c>
      <c r="H73" s="71" t="inlineStr">
        <is>
          <t>P</t>
        </is>
      </c>
      <c r="I73" s="71" t="inlineStr">
        <is>
          <t>P</t>
        </is>
      </c>
      <c r="J73" s="71" t="inlineStr">
        <is>
          <t>P</t>
        </is>
      </c>
      <c r="K73" s="71" t="inlineStr">
        <is>
          <t>A</t>
        </is>
      </c>
      <c r="L73" s="71" t="inlineStr">
        <is>
          <t>P</t>
        </is>
      </c>
      <c r="M73" s="71" t="inlineStr">
        <is>
          <t>P</t>
        </is>
      </c>
      <c r="N73" s="71" t="inlineStr">
        <is>
          <t>P</t>
        </is>
      </c>
      <c r="O73" s="71" t="inlineStr">
        <is>
          <t>A</t>
        </is>
      </c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1" t="n"/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>
        <f>COUNTIF(F73:BH73,"P")</f>
        <v/>
      </c>
      <c r="BJ73" s="71">
        <f>SUM((BI73/BI12)*100)</f>
        <v/>
      </c>
    </row>
    <row r="74" ht="21" customHeight="1" s="55">
      <c r="A74" s="73" t="n">
        <v>62</v>
      </c>
      <c r="B74" s="74" t="n">
        <v>2410079</v>
      </c>
      <c r="C74" s="75" t="n">
        <v>3122245002128</v>
      </c>
      <c r="D74" s="76" t="inlineStr">
        <is>
          <t>Yasasvini Tiwari</t>
        </is>
      </c>
      <c r="E74" s="76" t="inlineStr">
        <is>
          <t>yasasvini2410079@ssn.edu.in</t>
        </is>
      </c>
      <c r="F74" s="71" t="inlineStr">
        <is>
          <t>A</t>
        </is>
      </c>
      <c r="G74" s="71" t="inlineStr">
        <is>
          <t>A</t>
        </is>
      </c>
      <c r="H74" s="71" t="inlineStr">
        <is>
          <t>A</t>
        </is>
      </c>
      <c r="I74" s="71" t="inlineStr">
        <is>
          <t>P</t>
        </is>
      </c>
      <c r="J74" s="71" t="inlineStr">
        <is>
          <t>P</t>
        </is>
      </c>
      <c r="K74" s="71" t="inlineStr">
        <is>
          <t>A</t>
        </is>
      </c>
      <c r="L74" s="71" t="inlineStr">
        <is>
          <t>P</t>
        </is>
      </c>
      <c r="M74" s="71" t="inlineStr">
        <is>
          <t>P</t>
        </is>
      </c>
      <c r="N74" s="71" t="inlineStr">
        <is>
          <t>P</t>
        </is>
      </c>
      <c r="O74" s="71" t="inlineStr">
        <is>
          <t>P</t>
        </is>
      </c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1" t="n"/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>
        <f>COUNTIF(F74:BH74,"P")</f>
        <v/>
      </c>
      <c r="BJ74" s="71">
        <f>SUM((BI74/BI12)*100)</f>
        <v/>
      </c>
    </row>
    <row r="75" ht="21" customHeight="1" s="55">
      <c r="A75" s="73" t="n">
        <v>63</v>
      </c>
      <c r="B75" s="74" t="n">
        <v>2410480</v>
      </c>
      <c r="C75" s="75" t="n">
        <v>3122245002129</v>
      </c>
      <c r="D75" s="76" t="inlineStr">
        <is>
          <t>Yashwanth B</t>
        </is>
      </c>
      <c r="E75" s="76" t="inlineStr">
        <is>
          <t>yashwanth2410480@ssn.edu.in</t>
        </is>
      </c>
      <c r="F75" s="71" t="inlineStr">
        <is>
          <t>P</t>
        </is>
      </c>
      <c r="G75" s="71" t="inlineStr">
        <is>
          <t>P</t>
        </is>
      </c>
      <c r="H75" s="71" t="inlineStr">
        <is>
          <t>P</t>
        </is>
      </c>
      <c r="I75" s="71" t="inlineStr">
        <is>
          <t>P</t>
        </is>
      </c>
      <c r="J75" s="71" t="inlineStr">
        <is>
          <t>P</t>
        </is>
      </c>
      <c r="K75" s="71" t="inlineStr">
        <is>
          <t>A</t>
        </is>
      </c>
      <c r="L75" s="71" t="inlineStr">
        <is>
          <t>A</t>
        </is>
      </c>
      <c r="M75" s="71" t="inlineStr">
        <is>
          <t>A</t>
        </is>
      </c>
      <c r="N75" s="71" t="inlineStr">
        <is>
          <t>P</t>
        </is>
      </c>
      <c r="O75" s="71" t="inlineStr">
        <is>
          <t>A</t>
        </is>
      </c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1" t="n"/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>
        <f>COUNTIF(F75:BH75,"P")</f>
        <v/>
      </c>
      <c r="BJ75" s="71">
        <f>SUM((BI75/BI12)*100)</f>
        <v/>
      </c>
    </row>
    <row r="76" ht="21" customHeight="1" s="55">
      <c r="A76" s="73" t="n">
        <v>64</v>
      </c>
      <c r="B76" s="74" t="n">
        <v>2410433</v>
      </c>
      <c r="C76" s="75" t="n">
        <v>3122245002130</v>
      </c>
      <c r="D76" s="76" t="inlineStr">
        <is>
          <t>Yashwanth R</t>
        </is>
      </c>
      <c r="E76" s="76" t="inlineStr">
        <is>
          <t>yashwanth2410433@ssn.edu.in</t>
        </is>
      </c>
      <c r="F76" s="71" t="inlineStr">
        <is>
          <t>A</t>
        </is>
      </c>
      <c r="G76" s="71" t="inlineStr">
        <is>
          <t>A</t>
        </is>
      </c>
      <c r="H76" s="71" t="inlineStr">
        <is>
          <t>A</t>
        </is>
      </c>
      <c r="I76" s="71" t="inlineStr">
        <is>
          <t>P</t>
        </is>
      </c>
      <c r="J76" s="71" t="inlineStr">
        <is>
          <t>P</t>
        </is>
      </c>
      <c r="K76" s="71" t="inlineStr">
        <is>
          <t>A</t>
        </is>
      </c>
      <c r="L76" s="71" t="inlineStr">
        <is>
          <t>P</t>
        </is>
      </c>
      <c r="M76" s="71" t="inlineStr">
        <is>
          <t>A</t>
        </is>
      </c>
      <c r="N76" s="71" t="inlineStr">
        <is>
          <t>A</t>
        </is>
      </c>
      <c r="O76" s="71" t="inlineStr">
        <is>
          <t>A</t>
        </is>
      </c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1" t="n"/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>
        <f>COUNTIF(F76:BH76,"P")</f>
        <v/>
      </c>
      <c r="BJ76" s="71">
        <f>SUM((BI76/BI12)*100)</f>
        <v/>
      </c>
    </row>
    <row r="77" ht="21" customHeight="1" s="55">
      <c r="A77" s="73" t="n">
        <v>65</v>
      </c>
      <c r="B77" s="74" t="n">
        <v>2410096</v>
      </c>
      <c r="C77" s="75" t="n">
        <v>3122245002131</v>
      </c>
      <c r="D77" s="76" t="inlineStr">
        <is>
          <t>Yasmithasri B</t>
        </is>
      </c>
      <c r="E77" s="76" t="inlineStr">
        <is>
          <t>yasmithasri2410096@ssn.edu.in</t>
        </is>
      </c>
      <c r="F77" s="71" t="inlineStr">
        <is>
          <t>A</t>
        </is>
      </c>
      <c r="G77" s="71" t="inlineStr">
        <is>
          <t>P</t>
        </is>
      </c>
      <c r="H77" s="71" t="inlineStr">
        <is>
          <t>P</t>
        </is>
      </c>
      <c r="I77" s="71" t="inlineStr">
        <is>
          <t>P</t>
        </is>
      </c>
      <c r="J77" s="71" t="inlineStr">
        <is>
          <t>P</t>
        </is>
      </c>
      <c r="K77" s="71" t="inlineStr">
        <is>
          <t>A</t>
        </is>
      </c>
      <c r="L77" s="71" t="inlineStr">
        <is>
          <t>P</t>
        </is>
      </c>
      <c r="M77" s="71" t="inlineStr">
        <is>
          <t>P</t>
        </is>
      </c>
      <c r="N77" s="71" t="inlineStr">
        <is>
          <t>P</t>
        </is>
      </c>
      <c r="O77" s="71" t="inlineStr">
        <is>
          <t>P</t>
        </is>
      </c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1" t="n"/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>
        <f>COUNTIF(F77:BH77,"P")</f>
        <v/>
      </c>
      <c r="BJ77" s="71">
        <f>SUM((BI77/BI12)*100)</f>
        <v/>
      </c>
    </row>
    <row r="78" ht="21" customHeight="1" s="55">
      <c r="A78" s="73" t="n">
        <v>66</v>
      </c>
      <c r="B78" s="74" t="n">
        <v>2410990</v>
      </c>
      <c r="C78" s="75" t="n">
        <v>3122245002132</v>
      </c>
      <c r="D78" s="76" t="inlineStr">
        <is>
          <t>Yuvanitha A R</t>
        </is>
      </c>
      <c r="E78" s="76" t="inlineStr">
        <is>
          <t>yuvanitha2410990@ssn.edu.in</t>
        </is>
      </c>
      <c r="F78" s="71" t="inlineStr">
        <is>
          <t>P</t>
        </is>
      </c>
      <c r="G78" s="71" t="inlineStr">
        <is>
          <t>P</t>
        </is>
      </c>
      <c r="H78" s="71" t="inlineStr">
        <is>
          <t>P</t>
        </is>
      </c>
      <c r="I78" s="71" t="inlineStr">
        <is>
          <t>P</t>
        </is>
      </c>
      <c r="J78" s="71" t="inlineStr">
        <is>
          <t>P</t>
        </is>
      </c>
      <c r="K78" s="71" t="inlineStr">
        <is>
          <t>A</t>
        </is>
      </c>
      <c r="L78" s="71" t="inlineStr">
        <is>
          <t>P</t>
        </is>
      </c>
      <c r="M78" s="71" t="inlineStr">
        <is>
          <t>A</t>
        </is>
      </c>
      <c r="N78" s="71" t="inlineStr">
        <is>
          <t>P</t>
        </is>
      </c>
      <c r="O78" s="71" t="inlineStr">
        <is>
          <t>A</t>
        </is>
      </c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1" t="n"/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>
        <f>COUNTIF(F78:BH78,"P")</f>
        <v/>
      </c>
      <c r="BJ78" s="71">
        <f>SUM((BI78/BI12)*100)</f>
        <v/>
      </c>
    </row>
    <row r="79" ht="21" customHeight="1" s="55">
      <c r="A79" s="73" t="n">
        <v>67</v>
      </c>
      <c r="B79" s="74" t="n">
        <v>2412049</v>
      </c>
      <c r="C79" s="75" t="n">
        <v>3122245002304</v>
      </c>
      <c r="D79" s="76" t="inlineStr">
        <is>
          <t>Darshan S S</t>
        </is>
      </c>
      <c r="E79" s="76" t="inlineStr">
        <is>
          <t>darshan2412049@ssn.edu.in</t>
        </is>
      </c>
      <c r="F79" s="71" t="inlineStr">
        <is>
          <t>P</t>
        </is>
      </c>
      <c r="G79" s="71" t="inlineStr">
        <is>
          <t>P</t>
        </is>
      </c>
      <c r="H79" s="71" t="inlineStr">
        <is>
          <t>A</t>
        </is>
      </c>
      <c r="I79" s="71" t="inlineStr">
        <is>
          <t>P</t>
        </is>
      </c>
      <c r="J79" s="71" t="inlineStr">
        <is>
          <t>A</t>
        </is>
      </c>
      <c r="K79" s="71" t="inlineStr">
        <is>
          <t>P</t>
        </is>
      </c>
      <c r="L79" s="71" t="inlineStr">
        <is>
          <t>A</t>
        </is>
      </c>
      <c r="M79" s="71" t="inlineStr">
        <is>
          <t>A</t>
        </is>
      </c>
      <c r="N79" s="71" t="inlineStr">
        <is>
          <t>A</t>
        </is>
      </c>
      <c r="O79" s="71" t="inlineStr">
        <is>
          <t>A</t>
        </is>
      </c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  <c r="Z79" s="71" t="n"/>
      <c r="AA79" s="71" t="n"/>
      <c r="AB79" s="71" t="n"/>
      <c r="AC79" s="7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>
        <f>COUNTIF(F79:BH79,"P")</f>
        <v/>
      </c>
      <c r="BJ79" s="71">
        <f>SUM((BI79/BI12)*100)</f>
        <v/>
      </c>
    </row>
    <row r="80" ht="21" customHeight="1" s="55">
      <c r="A80" s="73" t="n">
        <v>68</v>
      </c>
      <c r="B80" s="74" t="n">
        <v>2412046</v>
      </c>
      <c r="C80" s="75" t="n">
        <v>3122245002307</v>
      </c>
      <c r="D80" s="76" t="inlineStr">
        <is>
          <t>Manojkumar G</t>
        </is>
      </c>
      <c r="E80" s="76" t="inlineStr">
        <is>
          <t>manojkumar2412046@ssn.edu.in</t>
        </is>
      </c>
      <c r="F80" s="71" t="inlineStr">
        <is>
          <t>P</t>
        </is>
      </c>
      <c r="G80" s="71" t="inlineStr">
        <is>
          <t>P</t>
        </is>
      </c>
      <c r="H80" s="71" t="inlineStr">
        <is>
          <t>A</t>
        </is>
      </c>
      <c r="I80" s="71" t="inlineStr">
        <is>
          <t>P</t>
        </is>
      </c>
      <c r="J80" s="71" t="inlineStr">
        <is>
          <t>A</t>
        </is>
      </c>
      <c r="K80" s="71" t="inlineStr">
        <is>
          <t>A</t>
        </is>
      </c>
      <c r="L80" s="71" t="inlineStr">
        <is>
          <t>P</t>
        </is>
      </c>
      <c r="M80" s="71" t="inlineStr">
        <is>
          <t>P</t>
        </is>
      </c>
      <c r="N80" s="71" t="inlineStr">
        <is>
          <t>A</t>
        </is>
      </c>
      <c r="O80" s="71" t="inlineStr">
        <is>
          <t>P</t>
        </is>
      </c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>
        <f>COUNTIF(F80:BH80,"P")</f>
        <v/>
      </c>
      <c r="BJ80" s="71">
        <f>SUM((BI80/BI12)*100)</f>
        <v/>
      </c>
    </row>
    <row r="81" ht="21" customHeight="1" s="55">
      <c r="A81" s="73" t="n">
        <v>69</v>
      </c>
      <c r="B81" s="74" t="n">
        <v>2412010</v>
      </c>
      <c r="C81" s="75" t="n">
        <v>3122245002308</v>
      </c>
      <c r="D81" s="76" t="inlineStr">
        <is>
          <t>Rhea Jenifer P</t>
        </is>
      </c>
      <c r="E81" s="76" t="inlineStr">
        <is>
          <t>rheajenifer2412010@ssn.edu.in</t>
        </is>
      </c>
      <c r="F81" s="71" t="inlineStr">
        <is>
          <t>A</t>
        </is>
      </c>
      <c r="G81" s="71" t="inlineStr">
        <is>
          <t>A</t>
        </is>
      </c>
      <c r="H81" s="71" t="inlineStr">
        <is>
          <t>A</t>
        </is>
      </c>
      <c r="I81" s="71" t="inlineStr">
        <is>
          <t>A</t>
        </is>
      </c>
      <c r="J81" s="71" t="inlineStr">
        <is>
          <t>P</t>
        </is>
      </c>
      <c r="K81" s="71" t="inlineStr">
        <is>
          <t>A</t>
        </is>
      </c>
      <c r="L81" s="71" t="inlineStr">
        <is>
          <t>A</t>
        </is>
      </c>
      <c r="M81" s="71" t="inlineStr">
        <is>
          <t>P</t>
        </is>
      </c>
      <c r="N81" s="71" t="inlineStr">
        <is>
          <t>A</t>
        </is>
      </c>
      <c r="O81" s="71" t="inlineStr">
        <is>
          <t>P</t>
        </is>
      </c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8" t="n"/>
      <c r="AB81" s="88" t="n"/>
      <c r="AC81" s="88" t="n"/>
      <c r="AD81" s="88" t="n"/>
      <c r="AE81" s="88" t="n"/>
      <c r="AF81" s="88" t="n"/>
      <c r="AG81" s="88" t="n"/>
      <c r="AH81" s="88" t="n"/>
      <c r="AI81" s="88" t="n"/>
      <c r="AJ81" s="88" t="n"/>
      <c r="AK81" s="88" t="n"/>
      <c r="AL81" s="88" t="n"/>
      <c r="AM81" s="88" t="n"/>
      <c r="AN81" s="88" t="n"/>
      <c r="AO81" s="88" t="n"/>
      <c r="AP81" s="88" t="n"/>
      <c r="AQ81" s="88" t="n"/>
      <c r="AR81" s="88" t="n"/>
      <c r="AS81" s="88" t="n"/>
      <c r="AT81" s="88" t="n"/>
      <c r="AU81" s="88" t="n"/>
      <c r="AV81" s="88" t="n"/>
      <c r="AW81" s="88" t="n"/>
      <c r="AX81" s="88" t="n"/>
      <c r="AY81" s="88" t="n"/>
      <c r="AZ81" s="88" t="n"/>
      <c r="BA81" s="88" t="n"/>
      <c r="BB81" s="88" t="n"/>
      <c r="BC81" s="88" t="n"/>
      <c r="BD81" s="88" t="n"/>
      <c r="BE81" s="88" t="n"/>
      <c r="BF81" s="88" t="n"/>
      <c r="BG81" s="88" t="n"/>
      <c r="BH81" s="88" t="n"/>
      <c r="BI81" s="88">
        <f>COUNTIF(F81:BH81,"P")</f>
        <v/>
      </c>
      <c r="BJ81" s="88">
        <f>SUM((BI81/BI12)*100)</f>
        <v/>
      </c>
    </row>
    <row r="82" ht="21" customHeight="1" s="55">
      <c r="A82" s="73" t="n">
        <v>70</v>
      </c>
      <c r="B82" s="74" t="n">
        <v>2412073</v>
      </c>
      <c r="C82" s="75" t="n">
        <v>3122245002309</v>
      </c>
      <c r="D82" s="76" t="inlineStr">
        <is>
          <t>Sadhika T S</t>
        </is>
      </c>
      <c r="E82" s="76" t="inlineStr">
        <is>
          <t>sadhika2412073@ssn.edu.in</t>
        </is>
      </c>
      <c r="F82" s="71" t="inlineStr">
        <is>
          <t>A</t>
        </is>
      </c>
      <c r="G82" s="71" t="inlineStr">
        <is>
          <t>P</t>
        </is>
      </c>
      <c r="H82" s="71" t="inlineStr">
        <is>
          <t>A</t>
        </is>
      </c>
      <c r="I82" s="71" t="inlineStr">
        <is>
          <t>A</t>
        </is>
      </c>
      <c r="J82" s="71" t="inlineStr">
        <is>
          <t>P</t>
        </is>
      </c>
      <c r="K82" s="71" t="inlineStr">
        <is>
          <t>A</t>
        </is>
      </c>
      <c r="L82" s="71" t="inlineStr">
        <is>
          <t>P</t>
        </is>
      </c>
      <c r="M82" s="71" t="inlineStr">
        <is>
          <t>P</t>
        </is>
      </c>
      <c r="N82" s="71" t="inlineStr">
        <is>
          <t>A</t>
        </is>
      </c>
      <c r="O82" s="71" t="inlineStr">
        <is>
          <t>P</t>
        </is>
      </c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1" t="n"/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>
        <f>COUNTIF(F82:BH82,"P")</f>
        <v/>
      </c>
      <c r="BJ82" s="71">
        <f>SUM((BI82/BI12)*100)</f>
        <v/>
      </c>
    </row>
    <row r="83" ht="21" customHeight="1" s="55">
      <c r="A83" s="73" t="n">
        <v>71</v>
      </c>
      <c r="B83" s="74" t="n">
        <v>2412001</v>
      </c>
      <c r="C83" s="75" t="n">
        <v>3122245002310</v>
      </c>
      <c r="D83" s="76" t="inlineStr">
        <is>
          <t>Sundararajan R</t>
        </is>
      </c>
      <c r="E83" s="76" t="inlineStr">
        <is>
          <t>sundararajan2412001@ssn.edu.in</t>
        </is>
      </c>
      <c r="F83" s="71" t="inlineStr">
        <is>
          <t>A</t>
        </is>
      </c>
      <c r="G83" s="71" t="inlineStr">
        <is>
          <t>P</t>
        </is>
      </c>
      <c r="H83" s="71" t="inlineStr">
        <is>
          <t>P</t>
        </is>
      </c>
      <c r="I83" s="71" t="inlineStr">
        <is>
          <t>P</t>
        </is>
      </c>
      <c r="J83" s="71" t="inlineStr">
        <is>
          <t>P</t>
        </is>
      </c>
      <c r="K83" s="71" t="inlineStr">
        <is>
          <t>A</t>
        </is>
      </c>
      <c r="L83" s="71" t="inlineStr">
        <is>
          <t>P</t>
        </is>
      </c>
      <c r="M83" s="71" t="inlineStr">
        <is>
          <t>P</t>
        </is>
      </c>
      <c r="N83" s="71" t="inlineStr">
        <is>
          <t>P</t>
        </is>
      </c>
      <c r="O83" s="71" t="inlineStr">
        <is>
          <t>P</t>
        </is>
      </c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1" t="n"/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  <c r="BJ83" s="71" t="n"/>
    </row>
    <row r="84" ht="12.75" customHeight="1" s="55">
      <c r="B84" s="77" t="n"/>
      <c r="C84" s="77" t="n"/>
    </row>
    <row r="85" ht="12.75" customHeight="1" s="55">
      <c r="B85" s="77" t="n"/>
      <c r="C85" s="77" t="n"/>
    </row>
    <row r="86" ht="12.75" customHeight="1" s="55">
      <c r="B86" s="77" t="n"/>
      <c r="C86" s="77" t="n"/>
    </row>
    <row r="87" ht="12.75" customHeight="1" s="55">
      <c r="B87" s="77" t="n"/>
      <c r="C87" s="77" t="n"/>
    </row>
    <row r="88" ht="12.75" customHeight="1" s="55">
      <c r="B88" s="77" t="n"/>
      <c r="C88" s="77" t="n"/>
    </row>
    <row r="89" ht="12.75" customHeight="1" s="55">
      <c r="B89" s="77" t="n"/>
      <c r="C89" s="77" t="n"/>
    </row>
    <row r="90" ht="12.75" customHeight="1" s="55">
      <c r="B90" s="77" t="n"/>
      <c r="C90" s="77" t="n"/>
    </row>
    <row r="91" ht="39" customHeight="1" s="55">
      <c r="B91" s="77" t="n"/>
      <c r="C91" s="77" t="n"/>
      <c r="E91" s="71" t="inlineStr">
        <is>
          <t>Total No. of Students</t>
        </is>
      </c>
      <c r="F91" s="71" t="n">
        <v>71</v>
      </c>
      <c r="G91" s="71" t="n">
        <v>71</v>
      </c>
      <c r="H91" s="71" t="n">
        <v>71</v>
      </c>
      <c r="I91" s="71" t="n">
        <v>71</v>
      </c>
      <c r="J91" s="71" t="n">
        <v>71</v>
      </c>
      <c r="K91" s="71" t="n">
        <v>71</v>
      </c>
      <c r="L91" s="71" t="n">
        <v>71</v>
      </c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</row>
    <row r="92" ht="39" customHeight="1" s="55">
      <c r="B92" s="77" t="n"/>
      <c r="C92" s="77" t="n"/>
      <c r="E92" s="71" t="inlineStr">
        <is>
          <t>Total No. of Presentees</t>
        </is>
      </c>
      <c r="F92" s="71">
        <f>COUNTIF(F13:F82,"P")</f>
        <v/>
      </c>
      <c r="G92" s="71">
        <f>COUNTIF(G13:G82,"P")</f>
        <v/>
      </c>
      <c r="H92" s="71">
        <f>COUNTIF(H13:H82,"P")</f>
        <v/>
      </c>
      <c r="I92" s="71">
        <f>COUNTIF(I13:I82,"P")</f>
        <v/>
      </c>
      <c r="J92" s="71">
        <f>COUNTIF(J13:J82,"P")</f>
        <v/>
      </c>
      <c r="K92" s="71">
        <f>COUNTIF(K13:K82,"P")</f>
        <v/>
      </c>
      <c r="L92" s="71">
        <f>COUNTIF(L13:L82,"P")</f>
        <v/>
      </c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</row>
    <row r="93" ht="39" customHeight="1" s="55">
      <c r="B93" s="77" t="n"/>
      <c r="C93" s="77" t="n"/>
      <c r="E93" s="71" t="inlineStr">
        <is>
          <t>Total No. of Absentees</t>
        </is>
      </c>
      <c r="F93" s="71">
        <f>COUNTIF(F13:F82,"A")</f>
        <v/>
      </c>
      <c r="G93" s="71">
        <f>COUNTIF(G13:G82,"A")</f>
        <v/>
      </c>
      <c r="H93" s="71">
        <f>COUNTIF(H13:H82,"A")</f>
        <v/>
      </c>
      <c r="I93" s="71">
        <f>COUNTIF(I13:I82,"A")</f>
        <v/>
      </c>
      <c r="J93" s="71">
        <f>COUNTIF(J13:J82,"A")</f>
        <v/>
      </c>
      <c r="K93" s="71">
        <f>COUNTIF(K13:K82,"A")</f>
        <v/>
      </c>
      <c r="L93" s="71">
        <f>COUNTIF(L13:L82,"A")</f>
        <v/>
      </c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</row>
    <row r="94" ht="39" customHeight="1" s="55">
      <c r="B94" s="77" t="n"/>
      <c r="C94" s="77" t="n"/>
      <c r="E94" s="71" t="inlineStr">
        <is>
          <t>Presentees Percentage</t>
        </is>
      </c>
      <c r="F94" s="71">
        <f>SUM((F92/F91)*100)</f>
        <v/>
      </c>
      <c r="G94" s="71">
        <f>SUM((G92/G91)*100)</f>
        <v/>
      </c>
      <c r="H94" s="71">
        <f>SUM((H92/H91)*100)</f>
        <v/>
      </c>
      <c r="I94" s="71">
        <f>SUM((I92/I91)*100)</f>
        <v/>
      </c>
      <c r="J94" s="71">
        <f>SUM((J92/J91)*100)</f>
        <v/>
      </c>
      <c r="K94" s="71">
        <f>SUM((K92/K91)*100)</f>
        <v/>
      </c>
      <c r="L94" s="71">
        <f>SUM((L92/L91)*100)</f>
        <v/>
      </c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1" t="n"/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  <c r="BJ94" s="71" t="n"/>
    </row>
    <row r="95" ht="39" customHeight="1" s="55">
      <c r="B95" s="77" t="n"/>
      <c r="C95" s="77" t="n"/>
      <c r="E95" s="71" t="inlineStr">
        <is>
          <t>Absentees Percentage</t>
        </is>
      </c>
      <c r="F95" s="71">
        <f>SUM((F93/F91)*100)</f>
        <v/>
      </c>
      <c r="G95" s="71">
        <f>SUM((G93/G91)*100)</f>
        <v/>
      </c>
      <c r="H95" s="71">
        <f>SUM((H93/H91)*100)</f>
        <v/>
      </c>
      <c r="I95" s="71">
        <f>SUM((I93/I91)*100)</f>
        <v/>
      </c>
      <c r="J95" s="71">
        <f>SUM((J93/J91)*100)</f>
        <v/>
      </c>
      <c r="K95" s="71">
        <f>SUM((K93/K91)*100)</f>
        <v/>
      </c>
      <c r="L95" s="71">
        <f>SUM((L93/L91)*100)</f>
        <v/>
      </c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  <c r="BJ95" s="71" t="n"/>
    </row>
    <row r="96" ht="12.75" customHeight="1" s="55">
      <c r="B96" s="77" t="n"/>
      <c r="C96" s="77" t="n"/>
    </row>
    <row r="97" ht="12.75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2">
    <mergeCell ref="A7:I7"/>
    <mergeCell ref="F10:N10"/>
    <mergeCell ref="A8:D8"/>
    <mergeCell ref="A2:AX2"/>
    <mergeCell ref="B11:B12"/>
    <mergeCell ref="A1:AX1"/>
    <mergeCell ref="C11:C12"/>
    <mergeCell ref="D11:D12"/>
    <mergeCell ref="F11:BH11"/>
    <mergeCell ref="E11:E12"/>
    <mergeCell ref="A11:A12"/>
    <mergeCell ref="A3:AX3"/>
  </mergeCells>
  <conditionalFormatting sqref="B13:B83">
    <cfRule type="expression" rank="0" priority="2" equalAverage="0" aboveAverage="0" dxfId="0" text="" percent="0" bottom="0">
      <formula>AND(COUNTIF($B$10:$B$22,B13)+COUNTIF($B$24:$B$62,B13)&gt;1,NOT(ISBLANK(B13)))</formula>
    </cfRule>
  </conditionalFormatting>
  <hyperlinks>
    <hyperlink xmlns:r="http://schemas.openxmlformats.org/officeDocument/2006/relationships" ref="AU7" display="ug2024-it@ssn.edu.in 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8" customWidth="1" style="54" min="6" max="62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ATTENDANCE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  <c r="AV5" s="60" t="inlineStr">
        <is>
          <t>Batch : 2024-28</t>
        </is>
      </c>
    </row>
    <row r="6" ht="10.5" customHeight="1" s="55">
      <c r="A6" s="58" t="n"/>
      <c r="B6" s="59" t="n"/>
      <c r="C6" s="59" t="n"/>
    </row>
    <row r="7" ht="28.5" customHeight="1" s="55">
      <c r="A7" s="61" t="inlineStr">
        <is>
          <t>Sub Code &amp; Sub Name : UIT3501 - Automata Theory and Compiler Design</t>
        </is>
      </c>
      <c r="AU7" s="62" t="inlineStr">
        <is>
          <t xml:space="preserve">ug2024-it@ssn.edu.in </t>
        </is>
      </c>
    </row>
    <row r="8" ht="30.75" customHeight="1" s="55">
      <c r="A8" s="61" t="inlineStr">
        <is>
          <t>Staff Name : Dr. P. Vasuki</t>
        </is>
      </c>
      <c r="E8" s="64" t="n"/>
    </row>
    <row r="9" ht="30.75" customHeight="1" s="55">
      <c r="A9" s="61" t="n"/>
      <c r="B9" s="61" t="n"/>
      <c r="C9" s="61" t="n"/>
      <c r="D9" s="61" t="n"/>
      <c r="E9" s="64" t="n"/>
    </row>
    <row r="10" ht="30.75" customHeight="1" s="55">
      <c r="A10" s="61" t="n"/>
      <c r="B10" s="61" t="n"/>
      <c r="C10" s="61" t="n"/>
      <c r="D10" s="61" t="n"/>
      <c r="E10" s="64" t="n"/>
      <c r="F10" s="65" t="inlineStr">
        <is>
          <t>Mark  "P" for presentees , "A" for absentees</t>
        </is>
      </c>
      <c r="G10" s="66" t="n"/>
      <c r="H10" s="66" t="n"/>
      <c r="I10" s="66" t="n"/>
      <c r="J10" s="66" t="n"/>
      <c r="K10" s="66" t="n"/>
      <c r="L10" s="66" t="n"/>
      <c r="M10" s="66" t="n"/>
      <c r="N10" s="66" t="n"/>
    </row>
    <row r="11" ht="31.5" customHeight="1" s="55">
      <c r="A11" s="67" t="inlineStr">
        <is>
          <t>S.No</t>
        </is>
      </c>
      <c r="B11" s="67" t="inlineStr">
        <is>
          <t>Digital Id</t>
        </is>
      </c>
      <c r="C11" s="67" t="inlineStr">
        <is>
          <t>Register Number</t>
        </is>
      </c>
      <c r="D11" s="67" t="inlineStr">
        <is>
          <t>Name as per 12th Mark Sheet</t>
        </is>
      </c>
      <c r="E11" s="67" t="inlineStr">
        <is>
          <t>SSN Email ID</t>
        </is>
      </c>
      <c r="F11" s="68" t="inlineStr">
        <is>
          <t>Date</t>
        </is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  <c r="AX11" s="69" t="n"/>
      <c r="AY11" s="69" t="n"/>
      <c r="AZ11" s="69" t="n"/>
      <c r="BA11" s="69" t="n"/>
      <c r="BB11" s="69" t="n"/>
      <c r="BC11" s="69" t="n"/>
      <c r="BD11" s="69" t="n"/>
      <c r="BE11" s="69" t="n"/>
      <c r="BF11" s="69" t="n"/>
      <c r="BG11" s="69" t="n"/>
      <c r="BH11" s="70" t="n"/>
      <c r="BI11" s="71" t="n"/>
      <c r="BJ11" s="71" t="n"/>
    </row>
    <row r="12" ht="21" customHeight="1" s="55">
      <c r="A12" s="72" t="n"/>
      <c r="B12" s="72" t="n"/>
      <c r="C12" s="72" t="n"/>
      <c r="D12" s="72" t="n"/>
      <c r="E12" s="72" t="n"/>
      <c r="F12" s="71" t="inlineStr">
        <is>
          <t>22.06.26</t>
        </is>
      </c>
      <c r="G12" s="71" t="inlineStr">
        <is>
          <t>26.06.26</t>
        </is>
      </c>
      <c r="H12" s="71" t="inlineStr">
        <is>
          <t>29.06.26</t>
        </is>
      </c>
      <c r="I12" s="71" t="inlineStr">
        <is>
          <t>1.07.26</t>
        </is>
      </c>
      <c r="J12" s="71" t="inlineStr">
        <is>
          <t>03.07.26</t>
        </is>
      </c>
      <c r="K12" s="71" t="inlineStr">
        <is>
          <t>06.07.06</t>
        </is>
      </c>
      <c r="L12" s="71" t="inlineStr">
        <is>
          <t>08.07.2026</t>
        </is>
      </c>
      <c r="M12" s="71" t="inlineStr">
        <is>
          <t>10.07.2026</t>
        </is>
      </c>
      <c r="N12" s="71" t="inlineStr">
        <is>
          <t>13.07.2026</t>
        </is>
      </c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>
        <f>COUNTA(F12:BH12)</f>
        <v/>
      </c>
      <c r="BJ12" s="71" t="n"/>
    </row>
    <row r="13" ht="21" customHeight="1" s="55">
      <c r="A13" s="73" t="n">
        <v>1</v>
      </c>
      <c r="B13" s="74" t="n">
        <v>2410606</v>
      </c>
      <c r="C13" s="75" t="n">
        <v>3122245002067</v>
      </c>
      <c r="D13" s="76" t="inlineStr">
        <is>
          <t>Pragalya T</t>
        </is>
      </c>
      <c r="E13" s="76" t="inlineStr">
        <is>
          <t>pragalya2410606@ssn.edu.in</t>
        </is>
      </c>
      <c r="F13" s="71" t="inlineStr">
        <is>
          <t>P</t>
        </is>
      </c>
      <c r="G13" s="71" t="inlineStr">
        <is>
          <t>P</t>
        </is>
      </c>
      <c r="H13" s="71" t="inlineStr">
        <is>
          <t>P</t>
        </is>
      </c>
      <c r="I13" s="71" t="inlineStr">
        <is>
          <t>P</t>
        </is>
      </c>
      <c r="J13" s="71" t="inlineStr">
        <is>
          <t>P</t>
        </is>
      </c>
      <c r="K13" s="71" t="inlineStr">
        <is>
          <t>P</t>
        </is>
      </c>
      <c r="L13" s="71" t="inlineStr">
        <is>
          <t>P</t>
        </is>
      </c>
      <c r="M13" s="71" t="inlineStr">
        <is>
          <t>P</t>
        </is>
      </c>
      <c r="N13" s="71" t="inlineStr">
        <is>
          <t>P</t>
        </is>
      </c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1" t="n"/>
      <c r="BF13" s="71" t="n"/>
      <c r="BG13" s="71" t="n"/>
      <c r="BH13" s="71" t="n"/>
      <c r="BI13" s="71">
        <f>COUNTIF(F13:BH13,"P")</f>
        <v/>
      </c>
      <c r="BJ13" s="71">
        <f>SUM((BI13/BI12)*100)</f>
        <v/>
      </c>
    </row>
    <row r="14" ht="21" customHeight="1" s="55">
      <c r="A14" s="73" t="n">
        <v>2</v>
      </c>
      <c r="B14" s="74" t="n">
        <v>2410674</v>
      </c>
      <c r="C14" s="75" t="n">
        <v>3122245002068</v>
      </c>
      <c r="D14" s="76" t="inlineStr">
        <is>
          <t>Praghathish G T</t>
        </is>
      </c>
      <c r="E14" s="76" t="inlineStr">
        <is>
          <t>praghathish2410674@ssn.edu.in</t>
        </is>
      </c>
      <c r="F14" s="71" t="inlineStr">
        <is>
          <t>P</t>
        </is>
      </c>
      <c r="G14" s="71" t="inlineStr">
        <is>
          <t>P</t>
        </is>
      </c>
      <c r="H14" s="71" t="inlineStr">
        <is>
          <t>P</t>
        </is>
      </c>
      <c r="I14" s="71" t="inlineStr">
        <is>
          <t>P</t>
        </is>
      </c>
      <c r="J14" s="71" t="inlineStr">
        <is>
          <t>P</t>
        </is>
      </c>
      <c r="K14" s="71" t="inlineStr">
        <is>
          <t>P</t>
        </is>
      </c>
      <c r="L14" s="71" t="inlineStr">
        <is>
          <t>P</t>
        </is>
      </c>
      <c r="M14" s="71" t="inlineStr">
        <is>
          <t>P</t>
        </is>
      </c>
      <c r="N14" s="71" t="inlineStr">
        <is>
          <t>P</t>
        </is>
      </c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1" t="n"/>
      <c r="BF14" s="71" t="n"/>
      <c r="BG14" s="71" t="n"/>
      <c r="BH14" s="71" t="n"/>
      <c r="BI14" s="71">
        <f>COUNTIF(F14:BH14,"P")</f>
        <v/>
      </c>
      <c r="BJ14" s="71">
        <f>SUM((BI14/BI12)*100)</f>
        <v/>
      </c>
    </row>
    <row r="15" ht="21" customHeight="1" s="55">
      <c r="A15" s="73" t="n">
        <v>3</v>
      </c>
      <c r="B15" s="74" t="n">
        <v>2410080</v>
      </c>
      <c r="C15" s="75" t="n">
        <v>3122245002069</v>
      </c>
      <c r="D15" s="76" t="inlineStr">
        <is>
          <t>Pranav C K</t>
        </is>
      </c>
      <c r="E15" s="76" t="inlineStr">
        <is>
          <t>pranav2410080@ssn.edu.in</t>
        </is>
      </c>
      <c r="F15" s="71" t="inlineStr">
        <is>
          <t>P</t>
        </is>
      </c>
      <c r="G15" s="92" t="inlineStr">
        <is>
          <t>A</t>
        </is>
      </c>
      <c r="H15" s="92" t="inlineStr">
        <is>
          <t>A</t>
        </is>
      </c>
      <c r="I15" s="92" t="inlineStr">
        <is>
          <t>A</t>
        </is>
      </c>
      <c r="J15" s="92" t="inlineStr">
        <is>
          <t>A</t>
        </is>
      </c>
      <c r="K15" s="71" t="inlineStr">
        <is>
          <t>P</t>
        </is>
      </c>
      <c r="L15" s="71" t="inlineStr">
        <is>
          <t>P</t>
        </is>
      </c>
      <c r="M15" s="71" t="inlineStr">
        <is>
          <t>P</t>
        </is>
      </c>
      <c r="N15" s="71" t="inlineStr">
        <is>
          <t>P</t>
        </is>
      </c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1" t="n"/>
      <c r="BF15" s="71" t="n"/>
      <c r="BG15" s="71" t="n"/>
      <c r="BH15" s="71" t="n"/>
      <c r="BI15" s="71">
        <f>COUNTIF(F15:BH15,"P")</f>
        <v/>
      </c>
      <c r="BJ15" s="71">
        <f>SUM((BI15/BI12)*100)</f>
        <v/>
      </c>
    </row>
    <row r="16" ht="21" customHeight="1" s="55">
      <c r="A16" s="73" t="n">
        <v>4</v>
      </c>
      <c r="B16" s="74" t="n">
        <v>2410328</v>
      </c>
      <c r="C16" s="75" t="n">
        <v>3122245002070</v>
      </c>
      <c r="D16" s="76" t="inlineStr">
        <is>
          <t>Pranav Vasudevan</t>
        </is>
      </c>
      <c r="E16" s="76" t="inlineStr">
        <is>
          <t>pranav2410328@ssn.edu.in</t>
        </is>
      </c>
      <c r="F16" s="92" t="inlineStr">
        <is>
          <t>A</t>
        </is>
      </c>
      <c r="G16" s="92" t="inlineStr">
        <is>
          <t>A</t>
        </is>
      </c>
      <c r="H16" s="92" t="inlineStr">
        <is>
          <t>A</t>
        </is>
      </c>
      <c r="I16" s="71" t="inlineStr">
        <is>
          <t>P</t>
        </is>
      </c>
      <c r="J16" s="92" t="inlineStr">
        <is>
          <t>A</t>
        </is>
      </c>
      <c r="K16" s="71" t="inlineStr">
        <is>
          <t>P</t>
        </is>
      </c>
      <c r="L16" s="71" t="inlineStr">
        <is>
          <t>P</t>
        </is>
      </c>
      <c r="M16" s="71" t="inlineStr">
        <is>
          <t>P</t>
        </is>
      </c>
      <c r="N16" s="71" t="inlineStr">
        <is>
          <t>P</t>
        </is>
      </c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1" t="n"/>
      <c r="BF16" s="71" t="n"/>
      <c r="BG16" s="71" t="n"/>
      <c r="BH16" s="71" t="n"/>
      <c r="BI16" s="71">
        <f>COUNTIF(F16:BH16,"P")</f>
        <v/>
      </c>
      <c r="BJ16" s="71">
        <f>SUM((BI16/BI12)*100)</f>
        <v/>
      </c>
    </row>
    <row r="17" ht="21" customHeight="1" s="55">
      <c r="A17" s="73" t="n">
        <v>5</v>
      </c>
      <c r="B17" s="74" t="n">
        <v>2410738</v>
      </c>
      <c r="C17" s="75" t="n">
        <v>3122245002071</v>
      </c>
      <c r="D17" s="76" t="inlineStr">
        <is>
          <t>Radhakrishnan M</t>
        </is>
      </c>
      <c r="E17" s="76" t="inlineStr">
        <is>
          <t>radhakrishnan2410738@ssn.edu.in</t>
        </is>
      </c>
      <c r="F17" s="71" t="inlineStr">
        <is>
          <t>P</t>
        </is>
      </c>
      <c r="G17" s="71" t="inlineStr">
        <is>
          <t>P</t>
        </is>
      </c>
      <c r="H17" s="92" t="inlineStr">
        <is>
          <t>A</t>
        </is>
      </c>
      <c r="I17" s="92" t="inlineStr">
        <is>
          <t>A</t>
        </is>
      </c>
      <c r="J17" s="71" t="inlineStr">
        <is>
          <t>P</t>
        </is>
      </c>
      <c r="K17" s="71" t="inlineStr">
        <is>
          <t>P</t>
        </is>
      </c>
      <c r="L17" s="71" t="inlineStr">
        <is>
          <t>P</t>
        </is>
      </c>
      <c r="M17" s="71" t="inlineStr">
        <is>
          <t>P</t>
        </is>
      </c>
      <c r="N17" s="71" t="inlineStr">
        <is>
          <t>P</t>
        </is>
      </c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1" t="n"/>
      <c r="BF17" s="71" t="n"/>
      <c r="BG17" s="71" t="n"/>
      <c r="BH17" s="71" t="n"/>
      <c r="BI17" s="71">
        <f>COUNTIF(F17:BH17,"P")</f>
        <v/>
      </c>
      <c r="BJ17" s="71">
        <f>SUM((BI17/BI12)*100)</f>
        <v/>
      </c>
    </row>
    <row r="18" ht="21" customHeight="1" s="55">
      <c r="A18" s="73" t="n">
        <v>6</v>
      </c>
      <c r="B18" s="74" t="n">
        <v>2410786</v>
      </c>
      <c r="C18" s="75" t="n">
        <v>3122245002072</v>
      </c>
      <c r="D18" s="76" t="inlineStr">
        <is>
          <t>Raghul Krishna V</t>
        </is>
      </c>
      <c r="E18" s="76" t="inlineStr">
        <is>
          <t>raghulkrishna2410786@ssn.edu.in</t>
        </is>
      </c>
      <c r="F18" s="71" t="inlineStr">
        <is>
          <t>P</t>
        </is>
      </c>
      <c r="G18" s="71" t="inlineStr">
        <is>
          <t>P</t>
        </is>
      </c>
      <c r="H18" s="71" t="inlineStr">
        <is>
          <t>P</t>
        </is>
      </c>
      <c r="I18" s="71" t="inlineStr">
        <is>
          <t>P</t>
        </is>
      </c>
      <c r="J18" s="71" t="inlineStr">
        <is>
          <t>P</t>
        </is>
      </c>
      <c r="K18" s="71" t="inlineStr">
        <is>
          <t>P</t>
        </is>
      </c>
      <c r="L18" s="71" t="inlineStr">
        <is>
          <t>P</t>
        </is>
      </c>
      <c r="M18" s="71" t="inlineStr">
        <is>
          <t>P</t>
        </is>
      </c>
      <c r="N18" s="71" t="inlineStr">
        <is>
          <t>P</t>
        </is>
      </c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1" t="n"/>
      <c r="BF18" s="71" t="n"/>
      <c r="BG18" s="71" t="n"/>
      <c r="BH18" s="71" t="n"/>
      <c r="BI18" s="71">
        <f>COUNTIF(F18:BH18,"P")</f>
        <v/>
      </c>
      <c r="BJ18" s="71">
        <f>SUM((BI18/BI12)*100)</f>
        <v/>
      </c>
    </row>
    <row r="19" ht="21" customHeight="1" s="55">
      <c r="A19" s="73" t="n">
        <v>7</v>
      </c>
      <c r="B19" s="74" t="n">
        <v>2410441</v>
      </c>
      <c r="C19" s="75" t="n">
        <v>3122245002073</v>
      </c>
      <c r="D19" s="76" t="inlineStr">
        <is>
          <t>Ragul A</t>
        </is>
      </c>
      <c r="E19" s="76" t="inlineStr">
        <is>
          <t>ragul2410441@ssn.edu.in</t>
        </is>
      </c>
      <c r="F19" s="71" t="inlineStr">
        <is>
          <t>P</t>
        </is>
      </c>
      <c r="G19" s="71" t="inlineStr">
        <is>
          <t>P</t>
        </is>
      </c>
      <c r="H19" s="71" t="inlineStr">
        <is>
          <t>P</t>
        </is>
      </c>
      <c r="I19" s="71" t="inlineStr">
        <is>
          <t>P</t>
        </is>
      </c>
      <c r="J19" s="71" t="inlineStr">
        <is>
          <t>P</t>
        </is>
      </c>
      <c r="K19" s="71" t="inlineStr">
        <is>
          <t>P</t>
        </is>
      </c>
      <c r="L19" s="71" t="inlineStr">
        <is>
          <t>P</t>
        </is>
      </c>
      <c r="M19" s="71" t="inlineStr">
        <is>
          <t>P</t>
        </is>
      </c>
      <c r="N19" s="71" t="inlineStr">
        <is>
          <t>P</t>
        </is>
      </c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1" t="n"/>
      <c r="BF19" s="71" t="n"/>
      <c r="BG19" s="71" t="n"/>
      <c r="BH19" s="71" t="n"/>
      <c r="BI19" s="71">
        <f>COUNTIF(F19:BH19,"P")</f>
        <v/>
      </c>
      <c r="BJ19" s="71">
        <f>SUM((BI19/BI12)*100)</f>
        <v/>
      </c>
    </row>
    <row r="20" ht="21" customHeight="1" s="55">
      <c r="A20" s="73" t="n">
        <v>8</v>
      </c>
      <c r="B20" s="74" t="n">
        <v>2410834</v>
      </c>
      <c r="C20" s="75" t="n">
        <v>3122245002074</v>
      </c>
      <c r="D20" s="76" t="inlineStr">
        <is>
          <t>Ragunandhan M</t>
        </is>
      </c>
      <c r="E20" s="76" t="inlineStr">
        <is>
          <t>ragunandhan2410834@ssn.edu.in</t>
        </is>
      </c>
      <c r="F20" s="71" t="inlineStr">
        <is>
          <t>P</t>
        </is>
      </c>
      <c r="G20" s="71" t="inlineStr">
        <is>
          <t>P</t>
        </is>
      </c>
      <c r="H20" s="71" t="inlineStr">
        <is>
          <t>P</t>
        </is>
      </c>
      <c r="I20" s="71" t="inlineStr">
        <is>
          <t>P</t>
        </is>
      </c>
      <c r="J20" s="71" t="inlineStr">
        <is>
          <t>P</t>
        </is>
      </c>
      <c r="K20" s="71" t="inlineStr">
        <is>
          <t>P</t>
        </is>
      </c>
      <c r="L20" s="71" t="inlineStr">
        <is>
          <t>P</t>
        </is>
      </c>
      <c r="M20" s="71" t="inlineStr">
        <is>
          <t>P</t>
        </is>
      </c>
      <c r="N20" s="71" t="inlineStr">
        <is>
          <t>P</t>
        </is>
      </c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>
        <f>COUNTIF(F20:BH20,"P")</f>
        <v/>
      </c>
      <c r="BJ20" s="71">
        <f>SUM((BI20/BI12)*100)</f>
        <v/>
      </c>
    </row>
    <row r="21" ht="21" customHeight="1" s="55">
      <c r="A21" s="73" t="n">
        <v>9</v>
      </c>
      <c r="B21" s="74" t="n">
        <v>2410098</v>
      </c>
      <c r="C21" s="75" t="n">
        <v>3122245002075</v>
      </c>
      <c r="D21" s="76" t="inlineStr">
        <is>
          <t>Rajkumar M</t>
        </is>
      </c>
      <c r="E21" s="76" t="inlineStr">
        <is>
          <t>rajkumar2410098@ssn.edu.in</t>
        </is>
      </c>
      <c r="F21" s="71" t="inlineStr">
        <is>
          <t>P</t>
        </is>
      </c>
      <c r="G21" s="71" t="inlineStr">
        <is>
          <t>P</t>
        </is>
      </c>
      <c r="H21" s="92" t="inlineStr">
        <is>
          <t>A</t>
        </is>
      </c>
      <c r="I21" s="71" t="inlineStr">
        <is>
          <t>P</t>
        </is>
      </c>
      <c r="J21" s="92" t="inlineStr">
        <is>
          <t>A</t>
        </is>
      </c>
      <c r="K21" s="71" t="inlineStr">
        <is>
          <t>P</t>
        </is>
      </c>
      <c r="L21" s="71" t="inlineStr">
        <is>
          <t>P</t>
        </is>
      </c>
      <c r="M21" s="71" t="inlineStr">
        <is>
          <t>P</t>
        </is>
      </c>
      <c r="N21" s="71" t="inlineStr">
        <is>
          <t>P</t>
        </is>
      </c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>
        <f>COUNTIF(F21:BH21,"P")</f>
        <v/>
      </c>
      <c r="BJ21" s="71">
        <f>SUM((BI21/BI12)*100)</f>
        <v/>
      </c>
    </row>
    <row r="22" ht="21" customHeight="1" s="55">
      <c r="A22" s="73" t="n">
        <v>10</v>
      </c>
      <c r="B22" s="74" t="n">
        <v>2410632</v>
      </c>
      <c r="C22" s="75" t="n">
        <v>3122245002076</v>
      </c>
      <c r="D22" s="76" t="inlineStr">
        <is>
          <t>Ramakrishnan M R</t>
        </is>
      </c>
      <c r="E22" s="76" t="inlineStr">
        <is>
          <t>ramakrishnan2410632@ssn.edu.in</t>
        </is>
      </c>
      <c r="F22" s="71" t="inlineStr">
        <is>
          <t>P</t>
        </is>
      </c>
      <c r="G22" s="71" t="inlineStr">
        <is>
          <t>P</t>
        </is>
      </c>
      <c r="H22" s="71" t="inlineStr">
        <is>
          <t>P</t>
        </is>
      </c>
      <c r="I22" s="71" t="inlineStr">
        <is>
          <t>P</t>
        </is>
      </c>
      <c r="J22" s="71" t="inlineStr">
        <is>
          <t>P</t>
        </is>
      </c>
      <c r="K22" s="71" t="inlineStr">
        <is>
          <t>P</t>
        </is>
      </c>
      <c r="L22" s="71" t="inlineStr">
        <is>
          <t>P</t>
        </is>
      </c>
      <c r="M22" s="71" t="inlineStr">
        <is>
          <t>P</t>
        </is>
      </c>
      <c r="N22" s="71" t="inlineStr">
        <is>
          <t>P</t>
        </is>
      </c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1" t="n"/>
      <c r="BF22" s="71" t="n"/>
      <c r="BG22" s="71" t="n"/>
      <c r="BH22" s="71" t="n"/>
      <c r="BI22" s="71">
        <f>COUNTIF(F22:BH22,"P")</f>
        <v/>
      </c>
      <c r="BJ22" s="71">
        <f>SUM((BI22/BI12)*100)</f>
        <v/>
      </c>
    </row>
    <row r="23" ht="21" customHeight="1" s="55">
      <c r="A23" s="73" t="n">
        <v>11</v>
      </c>
      <c r="B23" s="74" t="n">
        <v>2410313</v>
      </c>
      <c r="C23" s="75" t="n">
        <v>3122245002077</v>
      </c>
      <c r="D23" s="76" t="inlineStr">
        <is>
          <t>Raveena V K</t>
        </is>
      </c>
      <c r="E23" s="76" t="inlineStr">
        <is>
          <t>raveena2410313@ssn.edu.in</t>
        </is>
      </c>
      <c r="F23" s="71" t="inlineStr">
        <is>
          <t>P</t>
        </is>
      </c>
      <c r="G23" s="71" t="inlineStr">
        <is>
          <t>P</t>
        </is>
      </c>
      <c r="H23" s="92" t="inlineStr">
        <is>
          <t>A</t>
        </is>
      </c>
      <c r="I23" s="92" t="inlineStr">
        <is>
          <t>A</t>
        </is>
      </c>
      <c r="J23" s="71" t="inlineStr">
        <is>
          <t>P</t>
        </is>
      </c>
      <c r="K23" s="71" t="inlineStr">
        <is>
          <t>P</t>
        </is>
      </c>
      <c r="L23" s="71" t="inlineStr">
        <is>
          <t>P</t>
        </is>
      </c>
      <c r="M23" s="71" t="inlineStr">
        <is>
          <t>P</t>
        </is>
      </c>
      <c r="N23" s="71" t="inlineStr">
        <is>
          <t>P</t>
        </is>
      </c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71" t="n"/>
      <c r="AW23" s="71" t="n"/>
      <c r="AX23" s="71" t="n"/>
      <c r="AY23" s="71" t="n"/>
      <c r="AZ23" s="71" t="n"/>
      <c r="BA23" s="71" t="n"/>
      <c r="BB23" s="71" t="n"/>
      <c r="BC23" s="71" t="n"/>
      <c r="BD23" s="71" t="n"/>
      <c r="BE23" s="71" t="n"/>
      <c r="BF23" s="71" t="n"/>
      <c r="BG23" s="71" t="n"/>
      <c r="BH23" s="71" t="n"/>
      <c r="BI23" s="71">
        <f>COUNTIF(F23:BH23,"P")</f>
        <v/>
      </c>
      <c r="BJ23" s="71">
        <f>SUM((BI23/BI12)*100)</f>
        <v/>
      </c>
    </row>
    <row r="24" ht="21" customHeight="1" s="55">
      <c r="A24" s="73" t="n">
        <v>12</v>
      </c>
      <c r="B24" s="74" t="n">
        <v>2410581</v>
      </c>
      <c r="C24" s="75" t="n">
        <v>3122245002078</v>
      </c>
      <c r="D24" s="76" t="inlineStr">
        <is>
          <t>Ridhi R</t>
        </is>
      </c>
      <c r="E24" s="76" t="inlineStr">
        <is>
          <t>ridhi2410581@ssn.edu.in</t>
        </is>
      </c>
      <c r="F24" s="71" t="inlineStr">
        <is>
          <t>P</t>
        </is>
      </c>
      <c r="G24" s="71" t="inlineStr">
        <is>
          <t>P</t>
        </is>
      </c>
      <c r="H24" s="71" t="inlineStr">
        <is>
          <t>P</t>
        </is>
      </c>
      <c r="I24" s="71" t="inlineStr">
        <is>
          <t>P</t>
        </is>
      </c>
      <c r="J24" s="92" t="inlineStr">
        <is>
          <t>A</t>
        </is>
      </c>
      <c r="K24" s="71" t="inlineStr">
        <is>
          <t>P</t>
        </is>
      </c>
      <c r="L24" s="71" t="inlineStr">
        <is>
          <t>P</t>
        </is>
      </c>
      <c r="M24" s="71" t="inlineStr">
        <is>
          <t>P</t>
        </is>
      </c>
      <c r="N24" s="71" t="inlineStr">
        <is>
          <t>P</t>
        </is>
      </c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71" t="n"/>
      <c r="AW24" s="71" t="n"/>
      <c r="AX24" s="71" t="n"/>
      <c r="AY24" s="71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>
        <f>COUNTIF(F24:BH24,"P")</f>
        <v/>
      </c>
      <c r="BJ24" s="71">
        <f>SUM((BI24/BI12)*100)</f>
        <v/>
      </c>
    </row>
    <row r="25" ht="21" customHeight="1" s="55">
      <c r="A25" s="73" t="n">
        <v>13</v>
      </c>
      <c r="B25" s="74" t="n">
        <v>2410343</v>
      </c>
      <c r="C25" s="75" t="n">
        <v>3122245002079</v>
      </c>
      <c r="D25" s="76" t="inlineStr">
        <is>
          <t>Rishikumar Pitchiah Kalyanakumar</t>
        </is>
      </c>
      <c r="E25" s="76" t="inlineStr">
        <is>
          <t>rishikumar2410343@ssn.edu.in</t>
        </is>
      </c>
      <c r="F25" s="92" t="inlineStr">
        <is>
          <t>A</t>
        </is>
      </c>
      <c r="G25" s="71" t="inlineStr">
        <is>
          <t>P</t>
        </is>
      </c>
      <c r="H25" s="71" t="inlineStr">
        <is>
          <t>P</t>
        </is>
      </c>
      <c r="I25" s="92" t="inlineStr">
        <is>
          <t>A</t>
        </is>
      </c>
      <c r="J25" s="71" t="inlineStr">
        <is>
          <t>P</t>
        </is>
      </c>
      <c r="K25" s="71" t="inlineStr">
        <is>
          <t>P</t>
        </is>
      </c>
      <c r="L25" s="71" t="inlineStr">
        <is>
          <t>P</t>
        </is>
      </c>
      <c r="M25" s="71" t="inlineStr">
        <is>
          <t>P</t>
        </is>
      </c>
      <c r="N25" s="71" t="inlineStr">
        <is>
          <t>P</t>
        </is>
      </c>
      <c r="O25" s="71" t="n"/>
      <c r="P25" s="71" t="n"/>
      <c r="Q25" s="71" t="n">
        <v>68</v>
      </c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71" t="n"/>
      <c r="AW25" s="71" t="n"/>
      <c r="AX25" s="71" t="n"/>
      <c r="AY25" s="71" t="n"/>
      <c r="AZ25" s="71" t="n"/>
      <c r="BA25" s="71" t="n"/>
      <c r="BB25" s="71" t="n"/>
      <c r="BC25" s="71" t="n"/>
      <c r="BD25" s="71" t="n"/>
      <c r="BE25" s="71" t="n"/>
      <c r="BF25" s="71" t="n"/>
      <c r="BG25" s="71" t="n"/>
      <c r="BH25" s="71" t="n"/>
      <c r="BI25" s="71">
        <f>COUNTIF(F25:BH25,"P")</f>
        <v/>
      </c>
      <c r="BJ25" s="71">
        <f>SUM((BI25/BI12)*100)</f>
        <v/>
      </c>
    </row>
    <row r="26" ht="21" customHeight="1" s="55">
      <c r="A26" s="73" t="n">
        <v>14</v>
      </c>
      <c r="B26" s="74" t="n">
        <v>2410308</v>
      </c>
      <c r="C26" s="75" t="n">
        <v>3122245002080</v>
      </c>
      <c r="D26" s="76" t="inlineStr">
        <is>
          <t>Rithin Asvathama V</t>
        </is>
      </c>
      <c r="E26" s="76" t="inlineStr">
        <is>
          <t>rithinasvathama2410308@ssn.edu.in</t>
        </is>
      </c>
      <c r="F26" s="92" t="inlineStr">
        <is>
          <t>A</t>
        </is>
      </c>
      <c r="G26" s="92" t="inlineStr">
        <is>
          <t>A</t>
        </is>
      </c>
      <c r="H26" s="71" t="inlineStr">
        <is>
          <t>P</t>
        </is>
      </c>
      <c r="I26" s="92" t="inlineStr">
        <is>
          <t>A</t>
        </is>
      </c>
      <c r="J26" s="71" t="inlineStr">
        <is>
          <t>P</t>
        </is>
      </c>
      <c r="K26" s="71" t="inlineStr">
        <is>
          <t>P</t>
        </is>
      </c>
      <c r="L26" s="71" t="inlineStr">
        <is>
          <t>P</t>
        </is>
      </c>
      <c r="M26" s="71" t="inlineStr">
        <is>
          <t>P</t>
        </is>
      </c>
      <c r="N26" s="71" t="inlineStr">
        <is>
          <t>P</t>
        </is>
      </c>
      <c r="O26" s="71" t="n"/>
      <c r="P26" s="71" t="n"/>
      <c r="Q26" s="71" t="n">
        <v>69</v>
      </c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>
        <f>COUNTIF(F26:BH26,"P")</f>
        <v/>
      </c>
      <c r="BJ26" s="71">
        <f>SUM((BI26/BI12)*100)</f>
        <v/>
      </c>
    </row>
    <row r="27" ht="21" customHeight="1" s="55">
      <c r="A27" s="73" t="n">
        <v>15</v>
      </c>
      <c r="B27" s="74" t="n">
        <v>2410445</v>
      </c>
      <c r="C27" s="75" t="n">
        <v>3122245002081</v>
      </c>
      <c r="D27" s="76" t="inlineStr">
        <is>
          <t>Ritvik Kumar T</t>
        </is>
      </c>
      <c r="E27" s="76" t="inlineStr">
        <is>
          <t>ritvikkumar2410445@ssn.edu.in</t>
        </is>
      </c>
      <c r="F27" s="71" t="inlineStr">
        <is>
          <t>P</t>
        </is>
      </c>
      <c r="G27" s="71" t="inlineStr">
        <is>
          <t>P</t>
        </is>
      </c>
      <c r="H27" s="71" t="inlineStr">
        <is>
          <t>P</t>
        </is>
      </c>
      <c r="I27" s="71" t="inlineStr">
        <is>
          <t>P</t>
        </is>
      </c>
      <c r="J27" s="92" t="inlineStr">
        <is>
          <t>A</t>
        </is>
      </c>
      <c r="K27" s="71" t="inlineStr">
        <is>
          <t>P</t>
        </is>
      </c>
      <c r="L27" s="71" t="inlineStr">
        <is>
          <t>P</t>
        </is>
      </c>
      <c r="M27" s="71" t="inlineStr">
        <is>
          <t>P</t>
        </is>
      </c>
      <c r="N27" s="71" t="inlineStr">
        <is>
          <t>P</t>
        </is>
      </c>
      <c r="O27" s="71" t="n"/>
      <c r="P27" s="71" t="n"/>
      <c r="Q27" s="71" t="n">
        <v>71</v>
      </c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>
        <f>COUNTIF(F27:BH27,"P")</f>
        <v/>
      </c>
      <c r="BJ27" s="71">
        <f>SUM((BI27/BI12)*100)</f>
        <v/>
      </c>
    </row>
    <row r="28" ht="21" customHeight="1" s="55">
      <c r="A28" s="73" t="n">
        <v>16</v>
      </c>
      <c r="B28" s="74" t="n">
        <v>2410230</v>
      </c>
      <c r="C28" s="75" t="n">
        <v>3122245002082</v>
      </c>
      <c r="D28" s="76" t="inlineStr">
        <is>
          <t>Roja Sri R</t>
        </is>
      </c>
      <c r="E28" s="76" t="inlineStr">
        <is>
          <t>rojasri2410230@ssn.edu.in</t>
        </is>
      </c>
      <c r="F28" s="71" t="inlineStr">
        <is>
          <t>P</t>
        </is>
      </c>
      <c r="G28" s="71" t="inlineStr">
        <is>
          <t>P</t>
        </is>
      </c>
      <c r="H28" s="71" t="inlineStr">
        <is>
          <t>P</t>
        </is>
      </c>
      <c r="I28" s="71" t="inlineStr">
        <is>
          <t>P</t>
        </is>
      </c>
      <c r="J28" s="71" t="inlineStr">
        <is>
          <t>P</t>
        </is>
      </c>
      <c r="K28" s="71" t="inlineStr">
        <is>
          <t>P</t>
        </is>
      </c>
      <c r="L28" s="71" t="inlineStr">
        <is>
          <t>P</t>
        </is>
      </c>
      <c r="M28" s="71" t="inlineStr">
        <is>
          <t>P</t>
        </is>
      </c>
      <c r="N28" s="71" t="inlineStr">
        <is>
          <t>P</t>
        </is>
      </c>
      <c r="O28" s="71" t="n"/>
      <c r="P28" s="71" t="n"/>
      <c r="Q28" s="71" t="n">
        <v>78</v>
      </c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>
        <f>COUNTIF(F28:BH28,"P")</f>
        <v/>
      </c>
      <c r="BJ28" s="71">
        <f>SUM((BI28/BI12)*100)</f>
        <v/>
      </c>
    </row>
    <row r="29" ht="21" customHeight="1" s="55">
      <c r="A29" s="73" t="n">
        <v>17</v>
      </c>
      <c r="B29" s="74" t="n">
        <v>2410331</v>
      </c>
      <c r="C29" s="75" t="n">
        <v>3122245002083</v>
      </c>
      <c r="D29" s="76" t="inlineStr">
        <is>
          <t>Rovena Madharasi I</t>
        </is>
      </c>
      <c r="E29" s="76" t="inlineStr">
        <is>
          <t>rovenamadharasi2410331@ssn.edu.in</t>
        </is>
      </c>
      <c r="F29" s="71" t="inlineStr">
        <is>
          <t>P</t>
        </is>
      </c>
      <c r="G29" s="71" t="inlineStr">
        <is>
          <t>P</t>
        </is>
      </c>
      <c r="H29" s="71" t="inlineStr">
        <is>
          <t>P</t>
        </is>
      </c>
      <c r="I29" s="71" t="inlineStr">
        <is>
          <t>P</t>
        </is>
      </c>
      <c r="J29" s="71" t="inlineStr">
        <is>
          <t>P</t>
        </is>
      </c>
      <c r="K29" s="71" t="inlineStr">
        <is>
          <t>P</t>
        </is>
      </c>
      <c r="L29" s="71" t="inlineStr">
        <is>
          <t>P</t>
        </is>
      </c>
      <c r="M29" s="71" t="inlineStr">
        <is>
          <t>P</t>
        </is>
      </c>
      <c r="N29" s="71" t="inlineStr">
        <is>
          <t>P</t>
        </is>
      </c>
      <c r="O29" s="71" t="n"/>
      <c r="P29" s="71" t="n"/>
      <c r="Q29" s="71" t="n">
        <v>79</v>
      </c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>
        <f>COUNTIF(F29:BH29,"P")</f>
        <v/>
      </c>
      <c r="BJ29" s="71">
        <f>SUM((BI29/BI12)*100)</f>
        <v/>
      </c>
    </row>
    <row r="30" ht="21" customHeight="1" s="55">
      <c r="A30" s="73" t="n">
        <v>18</v>
      </c>
      <c r="B30" s="74" t="n">
        <v>2410229</v>
      </c>
      <c r="C30" s="75" t="n">
        <v>3122245002084</v>
      </c>
      <c r="D30" s="76" t="inlineStr">
        <is>
          <t>Sabarish S B</t>
        </is>
      </c>
      <c r="E30" s="76" t="inlineStr">
        <is>
          <t>sabarish2410229@ssn.edu.in</t>
        </is>
      </c>
      <c r="F30" s="71" t="inlineStr">
        <is>
          <t>P</t>
        </is>
      </c>
      <c r="G30" s="71" t="inlineStr">
        <is>
          <t>P</t>
        </is>
      </c>
      <c r="H30" s="71" t="inlineStr">
        <is>
          <t>P</t>
        </is>
      </c>
      <c r="I30" s="71" t="inlineStr">
        <is>
          <t>P</t>
        </is>
      </c>
      <c r="J30" s="92" t="inlineStr">
        <is>
          <t>A</t>
        </is>
      </c>
      <c r="K30" s="71" t="inlineStr">
        <is>
          <t>P</t>
        </is>
      </c>
      <c r="L30" s="71" t="inlineStr">
        <is>
          <t>P</t>
        </is>
      </c>
      <c r="M30" s="71" t="inlineStr">
        <is>
          <t>P</t>
        </is>
      </c>
      <c r="N30" s="71" t="inlineStr">
        <is>
          <t>P</t>
        </is>
      </c>
      <c r="O30" s="71" t="n"/>
      <c r="P30" s="71" t="n"/>
      <c r="Q30" s="71" t="n">
        <v>82</v>
      </c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>
        <f>COUNTIF(F30:BH30,"P")</f>
        <v/>
      </c>
      <c r="BJ30" s="71">
        <f>SUM((BI30/BI12)*100)</f>
        <v/>
      </c>
    </row>
    <row r="31" ht="21" customHeight="1" s="55">
      <c r="A31" s="73" t="n">
        <v>19</v>
      </c>
      <c r="B31" s="74" t="n">
        <v>2410984</v>
      </c>
      <c r="C31" s="75" t="n">
        <v>3122245002085</v>
      </c>
      <c r="D31" s="76" t="inlineStr">
        <is>
          <t>Sahana A</t>
        </is>
      </c>
      <c r="E31" s="76" t="inlineStr">
        <is>
          <t>sahana2410984@ssn.edu.in</t>
        </is>
      </c>
      <c r="F31" s="92" t="inlineStr">
        <is>
          <t>A</t>
        </is>
      </c>
      <c r="G31" s="92" t="inlineStr">
        <is>
          <t>A</t>
        </is>
      </c>
      <c r="H31" s="71" t="inlineStr">
        <is>
          <t>P</t>
        </is>
      </c>
      <c r="I31" s="92" t="inlineStr">
        <is>
          <t>A</t>
        </is>
      </c>
      <c r="J31" s="71" t="inlineStr">
        <is>
          <t>P</t>
        </is>
      </c>
      <c r="K31" s="71" t="inlineStr">
        <is>
          <t>P</t>
        </is>
      </c>
      <c r="L31" s="71" t="inlineStr">
        <is>
          <t>P</t>
        </is>
      </c>
      <c r="M31" s="71" t="inlineStr">
        <is>
          <t>P</t>
        </is>
      </c>
      <c r="N31" s="71" t="inlineStr">
        <is>
          <t>P</t>
        </is>
      </c>
      <c r="O31" s="71" t="n"/>
      <c r="P31" s="71" t="n"/>
      <c r="Q31" s="71" t="n">
        <v>85</v>
      </c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>
        <f>COUNTIF(F31:BH31,"P")</f>
        <v/>
      </c>
      <c r="BJ31" s="71">
        <f>SUM((BI31/BI12)*100)</f>
        <v/>
      </c>
    </row>
    <row r="32" ht="21" customHeight="1" s="55">
      <c r="A32" s="73" t="n">
        <v>20</v>
      </c>
      <c r="B32" s="74" t="n">
        <v>2410091</v>
      </c>
      <c r="C32" s="75" t="n">
        <v>3122245002086</v>
      </c>
      <c r="D32" s="76" t="inlineStr">
        <is>
          <t>Sandhya B</t>
        </is>
      </c>
      <c r="E32" s="76" t="inlineStr">
        <is>
          <t>sandhya2410091@ssn.edu.in</t>
        </is>
      </c>
      <c r="F32" s="71" t="inlineStr">
        <is>
          <t>P</t>
        </is>
      </c>
      <c r="G32" s="71" t="inlineStr">
        <is>
          <t>P</t>
        </is>
      </c>
      <c r="H32" s="71" t="inlineStr">
        <is>
          <t>P</t>
        </is>
      </c>
      <c r="I32" s="71" t="inlineStr">
        <is>
          <t>P</t>
        </is>
      </c>
      <c r="J32" s="92" t="inlineStr">
        <is>
          <t>A</t>
        </is>
      </c>
      <c r="K32" s="71" t="inlineStr">
        <is>
          <t>P</t>
        </is>
      </c>
      <c r="L32" s="71" t="inlineStr">
        <is>
          <t>P</t>
        </is>
      </c>
      <c r="M32" s="71" t="inlineStr">
        <is>
          <t>P</t>
        </is>
      </c>
      <c r="N32" s="71" t="inlineStr">
        <is>
          <t>P</t>
        </is>
      </c>
      <c r="O32" s="71" t="n"/>
      <c r="P32" s="71" t="n"/>
      <c r="Q32" s="71" t="n">
        <v>86</v>
      </c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>
        <f>COUNTIF(F32:BH32,"P")</f>
        <v/>
      </c>
      <c r="BJ32" s="71">
        <f>SUM((BI32/BI12)*100)</f>
        <v/>
      </c>
    </row>
    <row r="33" ht="21" customHeight="1" s="55">
      <c r="A33" s="73" t="n">
        <v>21</v>
      </c>
      <c r="B33" s="74" t="n">
        <v>2410706</v>
      </c>
      <c r="C33" s="75" t="n">
        <v>3122245002087</v>
      </c>
      <c r="D33" s="76" t="inlineStr">
        <is>
          <t>Sandhya S</t>
        </is>
      </c>
      <c r="E33" s="76" t="inlineStr">
        <is>
          <t>sandhya2410706@ssn.edu.in</t>
        </is>
      </c>
      <c r="F33" s="71" t="inlineStr">
        <is>
          <t>P</t>
        </is>
      </c>
      <c r="G33" s="71" t="inlineStr">
        <is>
          <t>P</t>
        </is>
      </c>
      <c r="H33" s="71" t="inlineStr">
        <is>
          <t>P</t>
        </is>
      </c>
      <c r="I33" s="71" t="inlineStr">
        <is>
          <t>P</t>
        </is>
      </c>
      <c r="J33" s="71" t="inlineStr">
        <is>
          <t>P</t>
        </is>
      </c>
      <c r="K33" s="71" t="inlineStr">
        <is>
          <t>P</t>
        </is>
      </c>
      <c r="L33" s="71" t="inlineStr">
        <is>
          <t>P</t>
        </is>
      </c>
      <c r="M33" s="71" t="inlineStr">
        <is>
          <t>P</t>
        </is>
      </c>
      <c r="N33" s="71" t="inlineStr">
        <is>
          <t>P</t>
        </is>
      </c>
      <c r="O33" s="71" t="n"/>
      <c r="P33" s="71" t="n"/>
      <c r="Q33" s="71" t="n">
        <v>87</v>
      </c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>
        <f>COUNTIF(F33:BH33,"P")</f>
        <v/>
      </c>
      <c r="BJ33" s="71">
        <f>SUM((BI33/BI12)*100)</f>
        <v/>
      </c>
    </row>
    <row r="34" ht="21" customHeight="1" s="55">
      <c r="A34" s="73" t="n">
        <v>22</v>
      </c>
      <c r="B34" s="74" t="n">
        <v>2410778</v>
      </c>
      <c r="C34" s="75" t="n">
        <v>3122245002088</v>
      </c>
      <c r="D34" s="76" t="inlineStr">
        <is>
          <t>Sangaraju Sathwik</t>
        </is>
      </c>
      <c r="E34" s="76" t="inlineStr">
        <is>
          <t>sangaraju2410778@ssn.edu.in</t>
        </is>
      </c>
      <c r="F34" s="92" t="inlineStr">
        <is>
          <t>A</t>
        </is>
      </c>
      <c r="G34" s="71" t="inlineStr">
        <is>
          <t>P</t>
        </is>
      </c>
      <c r="H34" s="92" t="inlineStr">
        <is>
          <t>A</t>
        </is>
      </c>
      <c r="I34" s="92" t="inlineStr">
        <is>
          <t>A</t>
        </is>
      </c>
      <c r="J34" s="92" t="inlineStr">
        <is>
          <t>A</t>
        </is>
      </c>
      <c r="K34" s="71" t="inlineStr">
        <is>
          <t>P</t>
        </is>
      </c>
      <c r="L34" s="71" t="inlineStr">
        <is>
          <t>P</t>
        </is>
      </c>
      <c r="M34" s="71" t="inlineStr">
        <is>
          <t>P</t>
        </is>
      </c>
      <c r="N34" s="71" t="inlineStr">
        <is>
          <t>P</t>
        </is>
      </c>
      <c r="O34" s="71" t="n"/>
      <c r="P34" s="71" t="n"/>
      <c r="Q34" s="71" t="n">
        <v>88</v>
      </c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>
        <f>COUNTIF(F34:BH34,"P")</f>
        <v/>
      </c>
      <c r="BJ34" s="71">
        <f>SUM((BI34/BI12)*100)</f>
        <v/>
      </c>
    </row>
    <row r="35" ht="21" customHeight="1" s="55">
      <c r="A35" s="73" t="n">
        <v>23</v>
      </c>
      <c r="B35" s="74" t="n">
        <v>2410162</v>
      </c>
      <c r="C35" s="75" t="n">
        <v>3122245002089</v>
      </c>
      <c r="D35" s="76" t="inlineStr">
        <is>
          <t>Sanjana Shankar</t>
        </is>
      </c>
      <c r="E35" s="76" t="inlineStr">
        <is>
          <t>sanjana2410162@ssn.edu.in</t>
        </is>
      </c>
      <c r="F35" s="71" t="inlineStr">
        <is>
          <t>P</t>
        </is>
      </c>
      <c r="G35" s="92" t="inlineStr">
        <is>
          <t>A</t>
        </is>
      </c>
      <c r="H35" s="92" t="inlineStr">
        <is>
          <t>A</t>
        </is>
      </c>
      <c r="I35" s="71" t="inlineStr">
        <is>
          <t>P</t>
        </is>
      </c>
      <c r="J35" s="92" t="inlineStr">
        <is>
          <t>A</t>
        </is>
      </c>
      <c r="K35" s="71" t="inlineStr">
        <is>
          <t>P</t>
        </is>
      </c>
      <c r="L35" s="71" t="inlineStr">
        <is>
          <t>P</t>
        </is>
      </c>
      <c r="M35" s="71" t="inlineStr">
        <is>
          <t>P</t>
        </is>
      </c>
      <c r="N35" s="71" t="inlineStr">
        <is>
          <t>P</t>
        </is>
      </c>
      <c r="O35" s="71" t="n"/>
      <c r="P35" s="71" t="n"/>
      <c r="Q35" s="71" t="n">
        <v>89</v>
      </c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>
        <f>COUNTIF(F35:BH35,"P")</f>
        <v/>
      </c>
      <c r="BJ35" s="71">
        <f>SUM((BI35/BI12)*100)</f>
        <v/>
      </c>
    </row>
    <row r="36" ht="21" customHeight="1" s="55">
      <c r="A36" s="73" t="n">
        <v>24</v>
      </c>
      <c r="B36" s="74" t="n">
        <v>2410514</v>
      </c>
      <c r="C36" s="75" t="n">
        <v>3122245002090</v>
      </c>
      <c r="D36" s="76" t="inlineStr">
        <is>
          <t>Sanjay J</t>
        </is>
      </c>
      <c r="E36" s="76" t="inlineStr">
        <is>
          <t>sanjay2410514@ssn.edu.in</t>
        </is>
      </c>
      <c r="F36" s="92" t="inlineStr">
        <is>
          <t>A</t>
        </is>
      </c>
      <c r="G36" s="92" t="inlineStr">
        <is>
          <t>A</t>
        </is>
      </c>
      <c r="H36" s="71" t="inlineStr">
        <is>
          <t>P</t>
        </is>
      </c>
      <c r="I36" s="92" t="inlineStr">
        <is>
          <t>A</t>
        </is>
      </c>
      <c r="J36" s="71" t="inlineStr">
        <is>
          <t>P</t>
        </is>
      </c>
      <c r="K36" s="71" t="inlineStr">
        <is>
          <t>P</t>
        </is>
      </c>
      <c r="L36" s="71" t="inlineStr">
        <is>
          <t>P</t>
        </is>
      </c>
      <c r="M36" s="71" t="inlineStr">
        <is>
          <t>P</t>
        </is>
      </c>
      <c r="N36" s="71" t="inlineStr">
        <is>
          <t>P</t>
        </is>
      </c>
      <c r="O36" s="71" t="n"/>
      <c r="P36" s="71" t="n"/>
      <c r="Q36" s="71" t="n">
        <v>90</v>
      </c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>
        <f>COUNTIF(F36:BH36,"P")</f>
        <v/>
      </c>
      <c r="BJ36" s="71">
        <f>SUM((BI36/BI12)*100)</f>
        <v/>
      </c>
    </row>
    <row r="37" ht="21" customHeight="1" s="55">
      <c r="A37" s="73" t="n">
        <v>25</v>
      </c>
      <c r="B37" s="74" t="n">
        <v>2410068</v>
      </c>
      <c r="C37" s="75" t="n">
        <v>3122245002091</v>
      </c>
      <c r="D37" s="76" t="inlineStr">
        <is>
          <t>Sanjay Raam S</t>
        </is>
      </c>
      <c r="E37" s="76" t="inlineStr">
        <is>
          <t>sanjayraam2410068@ssn.edu.in</t>
        </is>
      </c>
      <c r="F37" s="71" t="inlineStr">
        <is>
          <t>P</t>
        </is>
      </c>
      <c r="G37" s="92" t="inlineStr">
        <is>
          <t>A</t>
        </is>
      </c>
      <c r="H37" s="71" t="inlineStr">
        <is>
          <t>P</t>
        </is>
      </c>
      <c r="I37" s="71" t="inlineStr">
        <is>
          <t>P</t>
        </is>
      </c>
      <c r="J37" s="92" t="inlineStr">
        <is>
          <t>A</t>
        </is>
      </c>
      <c r="K37" s="71" t="inlineStr">
        <is>
          <t>P</t>
        </is>
      </c>
      <c r="L37" s="71" t="inlineStr">
        <is>
          <t>P</t>
        </is>
      </c>
      <c r="M37" s="71" t="inlineStr">
        <is>
          <t>P</t>
        </is>
      </c>
      <c r="N37" s="71" t="inlineStr">
        <is>
          <t>P</t>
        </is>
      </c>
      <c r="O37" s="71" t="n"/>
      <c r="P37" s="71" t="n"/>
      <c r="Q37" s="71" t="n">
        <v>91</v>
      </c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>
        <f>COUNTIF(F37:BH37,"P")</f>
        <v/>
      </c>
      <c r="BJ37" s="71">
        <f>SUM((BI37/BI12)*100)</f>
        <v/>
      </c>
    </row>
    <row r="38" ht="21" customHeight="1" s="55">
      <c r="A38" s="73" t="n">
        <v>26</v>
      </c>
      <c r="B38" s="74" t="n">
        <v>2410185</v>
      </c>
      <c r="C38" s="75" t="n">
        <v>3122245002092</v>
      </c>
      <c r="D38" s="76" t="inlineStr">
        <is>
          <t>Sanjay T</t>
        </is>
      </c>
      <c r="E38" s="76" t="inlineStr">
        <is>
          <t>sanjay2410185@ssn.edu.in</t>
        </is>
      </c>
      <c r="F38" s="71" t="inlineStr">
        <is>
          <t>P</t>
        </is>
      </c>
      <c r="G38" s="71" t="inlineStr">
        <is>
          <t>P</t>
        </is>
      </c>
      <c r="H38" s="71" t="inlineStr">
        <is>
          <t>P</t>
        </is>
      </c>
      <c r="I38" s="71" t="inlineStr">
        <is>
          <t>P</t>
        </is>
      </c>
      <c r="J38" s="71" t="inlineStr">
        <is>
          <t>P</t>
        </is>
      </c>
      <c r="K38" s="71" t="inlineStr">
        <is>
          <t>P</t>
        </is>
      </c>
      <c r="L38" s="71" t="inlineStr">
        <is>
          <t>P</t>
        </is>
      </c>
      <c r="M38" s="71" t="inlineStr">
        <is>
          <t>P</t>
        </is>
      </c>
      <c r="N38" s="71" t="inlineStr">
        <is>
          <t>P</t>
        </is>
      </c>
      <c r="O38" s="71" t="n"/>
      <c r="P38" s="71" t="n"/>
      <c r="Q38" s="71" t="n">
        <v>92</v>
      </c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>
        <f>COUNTIF(F38:BH38,"P")</f>
        <v/>
      </c>
      <c r="BJ38" s="71">
        <f>SUM((BI38/BI12)*100)</f>
        <v/>
      </c>
    </row>
    <row r="39" ht="21" customHeight="1" s="55">
      <c r="A39" s="73" t="n">
        <v>27</v>
      </c>
      <c r="B39" s="74" t="n">
        <v>2410988</v>
      </c>
      <c r="C39" s="75" t="n">
        <v>3122245002093</v>
      </c>
      <c r="D39" s="76" t="inlineStr">
        <is>
          <t>Santhosh Aaron C</t>
        </is>
      </c>
      <c r="E39" s="76" t="inlineStr">
        <is>
          <t>santhosh2410988@ssn.edu.in</t>
        </is>
      </c>
      <c r="F39" s="71" t="inlineStr">
        <is>
          <t>P</t>
        </is>
      </c>
      <c r="G39" s="71" t="inlineStr">
        <is>
          <t>P</t>
        </is>
      </c>
      <c r="H39" s="71" t="inlineStr">
        <is>
          <t>P</t>
        </is>
      </c>
      <c r="I39" s="71" t="inlineStr">
        <is>
          <t>P</t>
        </is>
      </c>
      <c r="J39" s="71" t="inlineStr">
        <is>
          <t>P</t>
        </is>
      </c>
      <c r="K39" s="71" t="inlineStr">
        <is>
          <t>P</t>
        </is>
      </c>
      <c r="L39" s="71" t="inlineStr">
        <is>
          <t>P</t>
        </is>
      </c>
      <c r="M39" s="71" t="inlineStr">
        <is>
          <t>P</t>
        </is>
      </c>
      <c r="N39" s="71" t="inlineStr">
        <is>
          <t>P</t>
        </is>
      </c>
      <c r="O39" s="71" t="n"/>
      <c r="P39" s="71" t="n"/>
      <c r="Q39" s="71" t="n">
        <v>93</v>
      </c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>
        <f>COUNTIF(F39:BH39,"P")</f>
        <v/>
      </c>
      <c r="BJ39" s="71">
        <f>SUM((BI39/BI12)*100)</f>
        <v/>
      </c>
    </row>
    <row r="40" ht="21" customHeight="1" s="55">
      <c r="A40" s="73" t="n">
        <v>28</v>
      </c>
      <c r="B40" s="74" t="n">
        <v>2410488</v>
      </c>
      <c r="C40" s="75" t="n">
        <v>3122245002094</v>
      </c>
      <c r="D40" s="76" t="inlineStr">
        <is>
          <t>Sarvesh K</t>
        </is>
      </c>
      <c r="E40" s="76" t="inlineStr">
        <is>
          <t>sarvesh2410488@ssn.edu.in</t>
        </is>
      </c>
      <c r="F40" s="71" t="inlineStr">
        <is>
          <t>P</t>
        </is>
      </c>
      <c r="G40" s="71" t="inlineStr">
        <is>
          <t>P</t>
        </is>
      </c>
      <c r="H40" s="71" t="inlineStr">
        <is>
          <t>P</t>
        </is>
      </c>
      <c r="I40" s="92" t="inlineStr">
        <is>
          <t>A</t>
        </is>
      </c>
      <c r="J40" s="71" t="inlineStr">
        <is>
          <t>P</t>
        </is>
      </c>
      <c r="K40" s="71" t="inlineStr">
        <is>
          <t>P</t>
        </is>
      </c>
      <c r="L40" s="71" t="inlineStr">
        <is>
          <t>P</t>
        </is>
      </c>
      <c r="M40" s="71" t="inlineStr">
        <is>
          <t>P</t>
        </is>
      </c>
      <c r="N40" s="71" t="inlineStr">
        <is>
          <t>P</t>
        </is>
      </c>
      <c r="O40" s="71" t="n"/>
      <c r="P40" s="71" t="n"/>
      <c r="Q40" s="71" t="n">
        <v>96</v>
      </c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>
        <f>COUNTIF(F40:BH40,"P")</f>
        <v/>
      </c>
      <c r="BJ40" s="71">
        <f>SUM((BI40/BI12)*100)</f>
        <v/>
      </c>
    </row>
    <row r="41" ht="21" customHeight="1" s="55">
      <c r="A41" s="73" t="n">
        <v>29</v>
      </c>
      <c r="B41" s="74" t="n">
        <v>2410076</v>
      </c>
      <c r="C41" s="75" t="n">
        <v>3122245002095</v>
      </c>
      <c r="D41" s="76" t="inlineStr">
        <is>
          <t>Sarvesh S</t>
        </is>
      </c>
      <c r="E41" s="76" t="inlineStr">
        <is>
          <t>sarvesh2410076@ssn.edu.in</t>
        </is>
      </c>
      <c r="F41" s="71" t="inlineStr">
        <is>
          <t>P</t>
        </is>
      </c>
      <c r="G41" s="71" t="inlineStr">
        <is>
          <t>P</t>
        </is>
      </c>
      <c r="H41" s="71" t="inlineStr">
        <is>
          <t>P</t>
        </is>
      </c>
      <c r="I41" s="71" t="inlineStr">
        <is>
          <t>P</t>
        </is>
      </c>
      <c r="J41" s="71" t="inlineStr">
        <is>
          <t>P</t>
        </is>
      </c>
      <c r="K41" s="71" t="inlineStr">
        <is>
          <t>P</t>
        </is>
      </c>
      <c r="L41" s="71" t="inlineStr">
        <is>
          <t>P</t>
        </is>
      </c>
      <c r="M41" s="71" t="inlineStr">
        <is>
          <t>P</t>
        </is>
      </c>
      <c r="N41" s="71" t="inlineStr">
        <is>
          <t>P</t>
        </is>
      </c>
      <c r="O41" s="71" t="n"/>
      <c r="P41" s="71" t="n"/>
      <c r="Q41" s="71" t="n">
        <v>98</v>
      </c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>
        <f>COUNTIF(F41:BH41,"P")</f>
        <v/>
      </c>
      <c r="BJ41" s="71">
        <f>SUM((BI41/BI12)*100)</f>
        <v/>
      </c>
    </row>
    <row r="42" ht="21" customHeight="1" s="55">
      <c r="A42" s="73" t="n">
        <v>30</v>
      </c>
      <c r="B42" s="74" t="n">
        <v>2410740</v>
      </c>
      <c r="C42" s="75" t="n">
        <v>3122245002096</v>
      </c>
      <c r="D42" s="76" t="inlineStr">
        <is>
          <t>Sarvesh S</t>
        </is>
      </c>
      <c r="E42" s="76" t="inlineStr">
        <is>
          <t>sarvesh2410740@ssn.edu.in</t>
        </is>
      </c>
      <c r="F42" s="71" t="inlineStr">
        <is>
          <t>P</t>
        </is>
      </c>
      <c r="G42" s="71" t="inlineStr">
        <is>
          <t>P</t>
        </is>
      </c>
      <c r="H42" s="71" t="inlineStr">
        <is>
          <t>P</t>
        </is>
      </c>
      <c r="I42" s="71" t="inlineStr">
        <is>
          <t>P</t>
        </is>
      </c>
      <c r="J42" s="71" t="inlineStr">
        <is>
          <t>P</t>
        </is>
      </c>
      <c r="K42" s="71" t="inlineStr">
        <is>
          <t>P</t>
        </is>
      </c>
      <c r="L42" s="71" t="inlineStr">
        <is>
          <t>P</t>
        </is>
      </c>
      <c r="M42" s="71" t="inlineStr">
        <is>
          <t>P</t>
        </is>
      </c>
      <c r="N42" s="71" t="inlineStr">
        <is>
          <t>P</t>
        </is>
      </c>
      <c r="O42" s="71" t="n"/>
      <c r="P42" s="71" t="n"/>
      <c r="Q42" s="71" t="n">
        <v>101</v>
      </c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>
        <f>COUNTIF(F42:BH42,"P")</f>
        <v/>
      </c>
      <c r="BJ42" s="71">
        <f>SUM((BI42/BI12)*100)</f>
        <v/>
      </c>
    </row>
    <row r="43" ht="21" customHeight="1" s="55">
      <c r="A43" s="73" t="n">
        <v>31</v>
      </c>
      <c r="B43" s="74" t="n">
        <v>2410118</v>
      </c>
      <c r="C43" s="75" t="n">
        <v>3122245002097</v>
      </c>
      <c r="D43" s="76" t="inlineStr">
        <is>
          <t>Sathvik Gururaghavendran</t>
        </is>
      </c>
      <c r="E43" s="76" t="inlineStr">
        <is>
          <t>sathvik2410118@ssn.edu.in</t>
        </is>
      </c>
      <c r="F43" s="71" t="inlineStr">
        <is>
          <t>P</t>
        </is>
      </c>
      <c r="G43" s="71" t="inlineStr">
        <is>
          <t>P</t>
        </is>
      </c>
      <c r="H43" s="92" t="inlineStr">
        <is>
          <t>A</t>
        </is>
      </c>
      <c r="I43" s="92" t="inlineStr">
        <is>
          <t>A</t>
        </is>
      </c>
      <c r="J43" s="71" t="inlineStr">
        <is>
          <t>P</t>
        </is>
      </c>
      <c r="K43" s="71" t="inlineStr">
        <is>
          <t>P</t>
        </is>
      </c>
      <c r="L43" s="71" t="inlineStr">
        <is>
          <t>P</t>
        </is>
      </c>
      <c r="M43" s="71" t="inlineStr">
        <is>
          <t>P</t>
        </is>
      </c>
      <c r="N43" s="71" t="inlineStr">
        <is>
          <t>P</t>
        </is>
      </c>
      <c r="O43" s="71" t="n"/>
      <c r="P43" s="71" t="n"/>
      <c r="Q43" s="71" t="n">
        <v>102</v>
      </c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>
        <f>COUNTIF(F43:BH43,"P")</f>
        <v/>
      </c>
      <c r="BJ43" s="71">
        <f>SUM((BI43/BI12)*100)</f>
        <v/>
      </c>
    </row>
    <row r="44" ht="21" customHeight="1" s="55">
      <c r="A44" s="73" t="n">
        <v>32</v>
      </c>
      <c r="B44" s="74" t="n">
        <v>2410486</v>
      </c>
      <c r="C44" s="75" t="n">
        <v>3122245002098</v>
      </c>
      <c r="D44" s="76" t="inlineStr">
        <is>
          <t>Shalini G</t>
        </is>
      </c>
      <c r="E44" s="76" t="inlineStr">
        <is>
          <t>shalini2410486@ssn.edu.in</t>
        </is>
      </c>
      <c r="F44" s="92" t="inlineStr">
        <is>
          <t>A</t>
        </is>
      </c>
      <c r="G44" s="92" t="inlineStr">
        <is>
          <t>A</t>
        </is>
      </c>
      <c r="H44" s="92" t="inlineStr">
        <is>
          <t>A</t>
        </is>
      </c>
      <c r="I44" s="71" t="inlineStr">
        <is>
          <t>P</t>
        </is>
      </c>
      <c r="J44" s="92" t="inlineStr">
        <is>
          <t>A</t>
        </is>
      </c>
      <c r="K44" s="71" t="inlineStr">
        <is>
          <t>P</t>
        </is>
      </c>
      <c r="L44" s="71" t="inlineStr">
        <is>
          <t>P</t>
        </is>
      </c>
      <c r="M44" s="71" t="inlineStr">
        <is>
          <t>P</t>
        </is>
      </c>
      <c r="N44" s="71" t="inlineStr">
        <is>
          <t>P</t>
        </is>
      </c>
      <c r="O44" s="71" t="n"/>
      <c r="P44" s="71" t="n"/>
      <c r="Q44" s="71" t="n">
        <v>103</v>
      </c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>
        <f>COUNTIF(F44:BH44,"P")</f>
        <v/>
      </c>
      <c r="BJ44" s="71">
        <f>SUM((BI44/BI12)*100)</f>
        <v/>
      </c>
    </row>
    <row r="45" ht="21" customHeight="1" s="55">
      <c r="A45" s="73" t="n">
        <v>33</v>
      </c>
      <c r="B45" s="74" t="n">
        <v>2410569</v>
      </c>
      <c r="C45" s="75" t="n">
        <v>3122245002099</v>
      </c>
      <c r="D45" s="76" t="inlineStr">
        <is>
          <t>Sharaal Jospeen Rani S</t>
        </is>
      </c>
      <c r="E45" s="76" t="inlineStr">
        <is>
          <t>sharaaljospeenrani2410569@ssn.edu.in</t>
        </is>
      </c>
      <c r="F45" s="71" t="inlineStr">
        <is>
          <t>P</t>
        </is>
      </c>
      <c r="G45" s="71" t="inlineStr">
        <is>
          <t>P</t>
        </is>
      </c>
      <c r="H45" s="92" t="inlineStr">
        <is>
          <t>A</t>
        </is>
      </c>
      <c r="I45" s="71" t="inlineStr">
        <is>
          <t>P</t>
        </is>
      </c>
      <c r="J45" s="71" t="inlineStr">
        <is>
          <t>P</t>
        </is>
      </c>
      <c r="K45" s="71" t="inlineStr">
        <is>
          <t>P</t>
        </is>
      </c>
      <c r="L45" s="71" t="inlineStr">
        <is>
          <t>P</t>
        </is>
      </c>
      <c r="M45" s="71" t="inlineStr">
        <is>
          <t>P</t>
        </is>
      </c>
      <c r="N45" s="71" t="inlineStr">
        <is>
          <t>P</t>
        </is>
      </c>
      <c r="O45" s="71" t="n"/>
      <c r="P45" s="71" t="n"/>
      <c r="Q45" s="71" t="n">
        <v>105</v>
      </c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>
        <f>COUNTIF(F45:BH45,"P")</f>
        <v/>
      </c>
      <c r="BJ45" s="71">
        <f>SUM((BI45/BI12)*100)</f>
        <v/>
      </c>
    </row>
    <row r="46" ht="21" customHeight="1" s="55">
      <c r="A46" s="73" t="n">
        <v>34</v>
      </c>
      <c r="B46" s="74" t="n">
        <v>2410047</v>
      </c>
      <c r="C46" s="75" t="n">
        <v>3122245002100</v>
      </c>
      <c r="D46" s="76" t="inlineStr">
        <is>
          <t>Shashank V</t>
        </is>
      </c>
      <c r="E46" s="76" t="inlineStr">
        <is>
          <t>shashank2410047@ssn.edu.in</t>
        </is>
      </c>
      <c r="F46" s="92" t="inlineStr">
        <is>
          <t>A</t>
        </is>
      </c>
      <c r="G46" s="71" t="inlineStr">
        <is>
          <t>P</t>
        </is>
      </c>
      <c r="H46" s="92" t="inlineStr">
        <is>
          <t>A</t>
        </is>
      </c>
      <c r="I46" s="92" t="inlineStr">
        <is>
          <t>A</t>
        </is>
      </c>
      <c r="J46" s="92" t="inlineStr">
        <is>
          <t>A</t>
        </is>
      </c>
      <c r="K46" s="71" t="inlineStr">
        <is>
          <t>P</t>
        </is>
      </c>
      <c r="L46" s="71" t="inlineStr">
        <is>
          <t>P</t>
        </is>
      </c>
      <c r="M46" s="71" t="inlineStr">
        <is>
          <t>P</t>
        </is>
      </c>
      <c r="N46" s="71" t="inlineStr">
        <is>
          <t>P</t>
        </is>
      </c>
      <c r="O46" s="71" t="n"/>
      <c r="P46" s="71" t="n"/>
      <c r="Q46" s="71" t="n">
        <v>106</v>
      </c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>
        <f>COUNTIF(F46:BH46,"P")</f>
        <v/>
      </c>
      <c r="BJ46" s="71">
        <f>SUM((BI46/BI12)*100)</f>
        <v/>
      </c>
    </row>
    <row r="47" ht="21" customHeight="1" s="55">
      <c r="A47" s="73" t="n">
        <v>35</v>
      </c>
      <c r="B47" s="74" t="n">
        <v>2410184</v>
      </c>
      <c r="C47" s="75" t="n">
        <v>3122245002101</v>
      </c>
      <c r="D47" s="76" t="inlineStr">
        <is>
          <t>Shree M</t>
        </is>
      </c>
      <c r="E47" s="76" t="inlineStr">
        <is>
          <t>shree2410184@ssn.edu.in</t>
        </is>
      </c>
      <c r="F47" s="71" t="inlineStr">
        <is>
          <t>P</t>
        </is>
      </c>
      <c r="G47" s="71" t="inlineStr">
        <is>
          <t>P</t>
        </is>
      </c>
      <c r="H47" s="71" t="inlineStr">
        <is>
          <t>P</t>
        </is>
      </c>
      <c r="I47" s="92" t="inlineStr">
        <is>
          <t>A</t>
        </is>
      </c>
      <c r="J47" s="71" t="inlineStr">
        <is>
          <t>P</t>
        </is>
      </c>
      <c r="K47" s="71" t="inlineStr">
        <is>
          <t>P</t>
        </is>
      </c>
      <c r="L47" s="71" t="inlineStr">
        <is>
          <t>P</t>
        </is>
      </c>
      <c r="M47" s="71" t="inlineStr">
        <is>
          <t>P</t>
        </is>
      </c>
      <c r="N47" s="71" t="inlineStr">
        <is>
          <t>P</t>
        </is>
      </c>
      <c r="O47" s="71" t="n"/>
      <c r="P47" s="71" t="n"/>
      <c r="Q47" s="71" t="n">
        <v>107</v>
      </c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>
        <f>COUNTIF(F47:BH47,"P")</f>
        <v/>
      </c>
      <c r="BJ47" s="71">
        <f>SUM((BI47/BI13)*100)</f>
        <v/>
      </c>
    </row>
    <row r="48" ht="21" customHeight="1" s="55">
      <c r="A48" s="73" t="n">
        <v>36</v>
      </c>
      <c r="B48" s="74" t="n">
        <v>2410214</v>
      </c>
      <c r="C48" s="75" t="n">
        <v>3122245002102</v>
      </c>
      <c r="D48" s="76" t="inlineStr">
        <is>
          <t>Shrika Neeharika C</t>
        </is>
      </c>
      <c r="E48" s="76" t="inlineStr">
        <is>
          <t>shrikaneeharika2410214@ssn.edu.in</t>
        </is>
      </c>
      <c r="F48" s="71" t="inlineStr">
        <is>
          <t>P</t>
        </is>
      </c>
      <c r="G48" s="92" t="inlineStr">
        <is>
          <t>A</t>
        </is>
      </c>
      <c r="H48" s="71" t="inlineStr">
        <is>
          <t>P</t>
        </is>
      </c>
      <c r="I48" s="71" t="inlineStr">
        <is>
          <t>P</t>
        </is>
      </c>
      <c r="J48" s="92" t="inlineStr">
        <is>
          <t>A</t>
        </is>
      </c>
      <c r="K48" s="71" t="inlineStr">
        <is>
          <t>P</t>
        </is>
      </c>
      <c r="L48" s="71" t="inlineStr">
        <is>
          <t>P</t>
        </is>
      </c>
      <c r="M48" s="71" t="inlineStr">
        <is>
          <t>P</t>
        </is>
      </c>
      <c r="N48" s="71" t="inlineStr">
        <is>
          <t>P</t>
        </is>
      </c>
      <c r="O48" s="71" t="n"/>
      <c r="P48" s="71" t="n"/>
      <c r="Q48" s="71" t="n">
        <v>111</v>
      </c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>
        <f>COUNTIF(F48:BH48,"P")</f>
        <v/>
      </c>
      <c r="BJ48" s="71">
        <f>SUM((BI48/BI12)*100)</f>
        <v/>
      </c>
    </row>
    <row r="49" ht="21" customHeight="1" s="55">
      <c r="A49" s="73" t="n">
        <v>37</v>
      </c>
      <c r="B49" s="74" t="n">
        <v>2410072</v>
      </c>
      <c r="C49" s="75" t="n">
        <v>3122245002103</v>
      </c>
      <c r="D49" s="76" t="inlineStr">
        <is>
          <t>Shrish V V S Sri Kumar Rasamsetty</t>
        </is>
      </c>
      <c r="E49" s="76" t="inlineStr">
        <is>
          <t>shrish2410072@ssn.edu.in</t>
        </is>
      </c>
      <c r="F49" s="92" t="inlineStr">
        <is>
          <t>A</t>
        </is>
      </c>
      <c r="G49" s="92" t="inlineStr">
        <is>
          <t>A</t>
        </is>
      </c>
      <c r="H49" s="71" t="inlineStr">
        <is>
          <t>P</t>
        </is>
      </c>
      <c r="I49" s="71" t="inlineStr">
        <is>
          <t>P</t>
        </is>
      </c>
      <c r="J49" s="71" t="inlineStr">
        <is>
          <t>P</t>
        </is>
      </c>
      <c r="K49" s="71" t="inlineStr">
        <is>
          <t>P</t>
        </is>
      </c>
      <c r="L49" s="71" t="inlineStr">
        <is>
          <t>P</t>
        </is>
      </c>
      <c r="M49" s="71" t="inlineStr">
        <is>
          <t>P</t>
        </is>
      </c>
      <c r="N49" s="71" t="inlineStr">
        <is>
          <t>P</t>
        </is>
      </c>
      <c r="O49" s="71" t="n"/>
      <c r="P49" s="71" t="n"/>
      <c r="Q49" s="71" t="n">
        <v>113</v>
      </c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>
        <f>COUNTIF(F49:BH49,"P")</f>
        <v/>
      </c>
      <c r="BJ49" s="71">
        <f>SUM((BI49/BI12)*100)</f>
        <v/>
      </c>
    </row>
    <row r="50" ht="21" customHeight="1" s="55">
      <c r="A50" s="73" t="n">
        <v>38</v>
      </c>
      <c r="B50" s="74" t="n">
        <v>2410533</v>
      </c>
      <c r="C50" s="75" t="n">
        <v>3122245002104</v>
      </c>
      <c r="D50" s="76" t="inlineStr">
        <is>
          <t>Shyam T J</t>
        </is>
      </c>
      <c r="E50" s="76" t="inlineStr">
        <is>
          <t>shyam2410533@ssn.edu.in</t>
        </is>
      </c>
      <c r="F50" s="71" t="inlineStr">
        <is>
          <t>P</t>
        </is>
      </c>
      <c r="G50" s="71" t="inlineStr">
        <is>
          <t>P</t>
        </is>
      </c>
      <c r="H50" s="71" t="inlineStr">
        <is>
          <t>P</t>
        </is>
      </c>
      <c r="I50" s="71" t="inlineStr">
        <is>
          <t>P</t>
        </is>
      </c>
      <c r="J50" s="71" t="inlineStr">
        <is>
          <t>P</t>
        </is>
      </c>
      <c r="K50" s="71" t="inlineStr">
        <is>
          <t>P</t>
        </is>
      </c>
      <c r="L50" s="71" t="inlineStr">
        <is>
          <t>P</t>
        </is>
      </c>
      <c r="M50" s="71" t="inlineStr">
        <is>
          <t>P</t>
        </is>
      </c>
      <c r="N50" s="71" t="inlineStr">
        <is>
          <t>P</t>
        </is>
      </c>
      <c r="O50" s="71" t="n"/>
      <c r="P50" s="71" t="n"/>
      <c r="Q50" s="71" t="n">
        <v>114</v>
      </c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>
        <f>COUNTIF(F50:BH50,"P")</f>
        <v/>
      </c>
      <c r="BJ50" s="71">
        <f>SUM((BI50/BI12)*100)</f>
        <v/>
      </c>
    </row>
    <row r="51" ht="21" customHeight="1" s="55">
      <c r="A51" s="73" t="n">
        <v>39</v>
      </c>
      <c r="B51" s="74" t="n">
        <v>2410457</v>
      </c>
      <c r="C51" s="75" t="n">
        <v>3122245002105</v>
      </c>
      <c r="D51" s="76" t="inlineStr">
        <is>
          <t>Siva Hari Raj S T</t>
        </is>
      </c>
      <c r="E51" s="76" t="inlineStr">
        <is>
          <t>sivahariraj2410457@ssn.edu.in</t>
        </is>
      </c>
      <c r="F51" s="71" t="inlineStr">
        <is>
          <t>P</t>
        </is>
      </c>
      <c r="G51" s="71" t="inlineStr">
        <is>
          <t>P</t>
        </is>
      </c>
      <c r="H51" s="92" t="inlineStr">
        <is>
          <t>A</t>
        </is>
      </c>
      <c r="I51" s="71" t="inlineStr">
        <is>
          <t>P</t>
        </is>
      </c>
      <c r="J51" s="92" t="inlineStr">
        <is>
          <t>A</t>
        </is>
      </c>
      <c r="K51" s="71" t="inlineStr">
        <is>
          <t>P</t>
        </is>
      </c>
      <c r="L51" s="71" t="inlineStr">
        <is>
          <t>P</t>
        </is>
      </c>
      <c r="M51" s="71" t="inlineStr">
        <is>
          <t>P</t>
        </is>
      </c>
      <c r="N51" s="71" t="inlineStr">
        <is>
          <t>P</t>
        </is>
      </c>
      <c r="O51" s="71" t="n"/>
      <c r="P51" s="71" t="n"/>
      <c r="Q51" s="71" t="n">
        <v>111</v>
      </c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>
        <f>COUNTIF(F51:BH51,"P")</f>
        <v/>
      </c>
      <c r="BJ51" s="71">
        <f>SUM((BI51/BI12)*100)</f>
        <v/>
      </c>
    </row>
    <row r="52" ht="21" customHeight="1" s="55">
      <c r="A52" s="73" t="n">
        <v>40</v>
      </c>
      <c r="B52" s="74" t="n">
        <v>2410759</v>
      </c>
      <c r="C52" s="75" t="n">
        <v>3122245002106</v>
      </c>
      <c r="D52" s="76" t="inlineStr">
        <is>
          <t>Sivaprasanth K</t>
        </is>
      </c>
      <c r="E52" s="76" t="inlineStr">
        <is>
          <t>sivaprasanth2410759@ssn.edu.in</t>
        </is>
      </c>
      <c r="F52" s="92" t="inlineStr">
        <is>
          <t>A</t>
        </is>
      </c>
      <c r="G52" s="92" t="inlineStr">
        <is>
          <t>A</t>
        </is>
      </c>
      <c r="H52" s="92" t="inlineStr">
        <is>
          <t>A</t>
        </is>
      </c>
      <c r="I52" s="71" t="inlineStr">
        <is>
          <t>P</t>
        </is>
      </c>
      <c r="J52" s="92" t="inlineStr">
        <is>
          <t>A</t>
        </is>
      </c>
      <c r="K52" s="71" t="inlineStr">
        <is>
          <t>P</t>
        </is>
      </c>
      <c r="L52" s="71" t="inlineStr">
        <is>
          <t>P</t>
        </is>
      </c>
      <c r="M52" s="71" t="inlineStr">
        <is>
          <t>P</t>
        </is>
      </c>
      <c r="N52" s="71" t="inlineStr">
        <is>
          <t>P</t>
        </is>
      </c>
      <c r="O52" s="71" t="n"/>
      <c r="P52" s="71" t="n"/>
      <c r="Q52" s="71" t="n">
        <v>117</v>
      </c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>
        <f>COUNTIF(F52:BH52,"P")</f>
        <v/>
      </c>
      <c r="BJ52" s="71">
        <f>SUM((BI52/BI12)*100)</f>
        <v/>
      </c>
    </row>
    <row r="53" ht="21" customHeight="1" s="55">
      <c r="A53" s="73" t="n">
        <v>41</v>
      </c>
      <c r="B53" s="74" t="n">
        <v>2410530</v>
      </c>
      <c r="C53" s="75" t="n">
        <v>3122245002107</v>
      </c>
      <c r="D53" s="76" t="inlineStr">
        <is>
          <t>Sreenath G</t>
        </is>
      </c>
      <c r="E53" s="76" t="inlineStr">
        <is>
          <t>sreenath2410530@ssn.edu.in</t>
        </is>
      </c>
      <c r="F53" s="71" t="inlineStr">
        <is>
          <t>P</t>
        </is>
      </c>
      <c r="G53" s="92" t="inlineStr">
        <is>
          <t>A</t>
        </is>
      </c>
      <c r="H53" s="92" t="inlineStr">
        <is>
          <t>A</t>
        </is>
      </c>
      <c r="I53" s="71" t="inlineStr">
        <is>
          <t>P</t>
        </is>
      </c>
      <c r="J53" s="71" t="inlineStr">
        <is>
          <t>P</t>
        </is>
      </c>
      <c r="K53" s="71" t="inlineStr">
        <is>
          <t>P</t>
        </is>
      </c>
      <c r="L53" s="71" t="inlineStr">
        <is>
          <t>P</t>
        </is>
      </c>
      <c r="M53" s="71" t="inlineStr">
        <is>
          <t>P</t>
        </is>
      </c>
      <c r="N53" s="71" t="inlineStr">
        <is>
          <t>P</t>
        </is>
      </c>
      <c r="O53" s="71" t="n"/>
      <c r="P53" s="71" t="n"/>
      <c r="Q53" s="71" t="n">
        <v>118</v>
      </c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>
        <f>COUNTIF(F53:BH53,"P")</f>
        <v/>
      </c>
      <c r="BJ53" s="71">
        <f>SUM((BI53/BI12)*100)</f>
        <v/>
      </c>
    </row>
    <row r="54" ht="21" customHeight="1" s="55">
      <c r="A54" s="73" t="n">
        <v>42</v>
      </c>
      <c r="B54" s="74" t="n">
        <v>2410089</v>
      </c>
      <c r="C54" s="75" t="n">
        <v>3122245002108</v>
      </c>
      <c r="D54" s="76" t="inlineStr">
        <is>
          <t>Sri Subhiksha T</t>
        </is>
      </c>
      <c r="E54" s="76" t="inlineStr">
        <is>
          <t>sri2410089@ssn.edu.in</t>
        </is>
      </c>
      <c r="F54" s="92" t="inlineStr">
        <is>
          <t>A</t>
        </is>
      </c>
      <c r="G54" s="92" t="inlineStr">
        <is>
          <t>A</t>
        </is>
      </c>
      <c r="H54" s="71" t="inlineStr">
        <is>
          <t>P</t>
        </is>
      </c>
      <c r="I54" s="71" t="inlineStr">
        <is>
          <t>P</t>
        </is>
      </c>
      <c r="J54" s="92" t="inlineStr">
        <is>
          <t>A</t>
        </is>
      </c>
      <c r="K54" s="71" t="inlineStr">
        <is>
          <t>P</t>
        </is>
      </c>
      <c r="L54" s="71" t="inlineStr">
        <is>
          <t>P</t>
        </is>
      </c>
      <c r="M54" s="71" t="inlineStr">
        <is>
          <t>P</t>
        </is>
      </c>
      <c r="N54" s="71" t="inlineStr">
        <is>
          <t>P</t>
        </is>
      </c>
      <c r="O54" s="71" t="n"/>
      <c r="P54" s="71" t="n"/>
      <c r="Q54" s="71" t="n">
        <v>119</v>
      </c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>
        <f>COUNTIF(F54:BH54,"P")</f>
        <v/>
      </c>
      <c r="BJ54" s="71">
        <f>SUM((BI54/BI12)*100)</f>
        <v/>
      </c>
    </row>
    <row r="55" ht="21" customHeight="1" s="55">
      <c r="A55" s="73" t="n">
        <v>43</v>
      </c>
      <c r="B55" s="74" t="n">
        <v>2410307</v>
      </c>
      <c r="C55" s="75" t="n">
        <v>3122245002109</v>
      </c>
      <c r="D55" s="76" t="inlineStr">
        <is>
          <t>Srimathi B</t>
        </is>
      </c>
      <c r="E55" s="76" t="inlineStr">
        <is>
          <t>srimathi2410307@ssn.edu.in</t>
        </is>
      </c>
      <c r="F55" s="71" t="inlineStr">
        <is>
          <t>P</t>
        </is>
      </c>
      <c r="G55" s="71" t="inlineStr">
        <is>
          <t>P</t>
        </is>
      </c>
      <c r="H55" s="71" t="inlineStr">
        <is>
          <t>P</t>
        </is>
      </c>
      <c r="I55" s="71" t="inlineStr">
        <is>
          <t>P</t>
        </is>
      </c>
      <c r="J55" s="92" t="inlineStr">
        <is>
          <t>A</t>
        </is>
      </c>
      <c r="K55" s="71" t="inlineStr">
        <is>
          <t>P</t>
        </is>
      </c>
      <c r="L55" s="71" t="inlineStr">
        <is>
          <t>P</t>
        </is>
      </c>
      <c r="M55" s="71" t="inlineStr">
        <is>
          <t>P</t>
        </is>
      </c>
      <c r="N55" s="71" t="inlineStr">
        <is>
          <t>P</t>
        </is>
      </c>
      <c r="O55" s="71" t="n"/>
      <c r="P55" s="71" t="n"/>
      <c r="Q55" s="71" t="n">
        <v>121</v>
      </c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>
        <f>COUNTIF(F55:BH55,"P")</f>
        <v/>
      </c>
      <c r="BJ55" s="71">
        <f>SUM((BI55/BI12)*100)</f>
        <v/>
      </c>
    </row>
    <row r="56" ht="21" customHeight="1" s="55">
      <c r="A56" s="73" t="n">
        <v>44</v>
      </c>
      <c r="B56" s="74" t="n">
        <v>2410315</v>
      </c>
      <c r="C56" s="75" t="n">
        <v>3122245002110</v>
      </c>
      <c r="D56" s="76" t="inlineStr">
        <is>
          <t>Sriram R</t>
        </is>
      </c>
      <c r="E56" s="76" t="inlineStr">
        <is>
          <t>sriram2410315@ssn.edu.in</t>
        </is>
      </c>
      <c r="F56" s="71" t="inlineStr">
        <is>
          <t>P</t>
        </is>
      </c>
      <c r="G56" s="92" t="inlineStr">
        <is>
          <t>A</t>
        </is>
      </c>
      <c r="H56" s="92" t="inlineStr">
        <is>
          <t>A</t>
        </is>
      </c>
      <c r="I56" s="92" t="inlineStr">
        <is>
          <t>A</t>
        </is>
      </c>
      <c r="J56" s="71" t="inlineStr">
        <is>
          <t>P</t>
        </is>
      </c>
      <c r="K56" s="71" t="inlineStr">
        <is>
          <t>P</t>
        </is>
      </c>
      <c r="L56" s="71" t="inlineStr">
        <is>
          <t>P</t>
        </is>
      </c>
      <c r="M56" s="71" t="inlineStr">
        <is>
          <t>P</t>
        </is>
      </c>
      <c r="N56" s="71" t="inlineStr">
        <is>
          <t>P</t>
        </is>
      </c>
      <c r="O56" s="71" t="n"/>
      <c r="P56" s="71" t="n"/>
      <c r="Q56" s="71" t="n">
        <v>122</v>
      </c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>
        <f>COUNTIF(F56:BH56,"P")</f>
        <v/>
      </c>
      <c r="BJ56" s="71">
        <f>SUM((BI56/BI12)*100)</f>
        <v/>
      </c>
    </row>
    <row r="57" ht="21" customHeight="1" s="55">
      <c r="A57" s="73" t="n">
        <v>45</v>
      </c>
      <c r="B57" s="74" t="n">
        <v>2410777</v>
      </c>
      <c r="C57" s="75" t="n">
        <v>3122245002111</v>
      </c>
      <c r="D57" s="76" t="inlineStr">
        <is>
          <t>Srivarshan S</t>
        </is>
      </c>
      <c r="E57" s="76" t="inlineStr">
        <is>
          <t>srivarshan2410777@ssn.edu.in</t>
        </is>
      </c>
      <c r="F57" s="71" t="inlineStr">
        <is>
          <t>P</t>
        </is>
      </c>
      <c r="G57" s="71" t="inlineStr">
        <is>
          <t>P</t>
        </is>
      </c>
      <c r="H57" s="71" t="inlineStr">
        <is>
          <t>P</t>
        </is>
      </c>
      <c r="I57" s="71" t="inlineStr">
        <is>
          <t>P</t>
        </is>
      </c>
      <c r="J57" s="71" t="inlineStr">
        <is>
          <t>P</t>
        </is>
      </c>
      <c r="K57" s="71" t="inlineStr">
        <is>
          <t>P</t>
        </is>
      </c>
      <c r="L57" s="71" t="inlineStr">
        <is>
          <t>P</t>
        </is>
      </c>
      <c r="M57" s="71" t="inlineStr">
        <is>
          <t>P</t>
        </is>
      </c>
      <c r="N57" s="71" t="inlineStr">
        <is>
          <t>P</t>
        </is>
      </c>
      <c r="O57" s="71" t="n"/>
      <c r="P57" s="71" t="n"/>
      <c r="Q57" s="71" t="n">
        <v>131</v>
      </c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1" t="n"/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>
        <f>COUNTIF(F57:BH57,"P")</f>
        <v/>
      </c>
      <c r="BJ57" s="71">
        <f>SUM((BI57/BI12)*100)</f>
        <v/>
      </c>
    </row>
    <row r="58" ht="21" customHeight="1" s="55">
      <c r="A58" s="73" t="n">
        <v>46</v>
      </c>
      <c r="B58" s="74" t="n">
        <v>2410345</v>
      </c>
      <c r="C58" s="75" t="n">
        <v>3122245002112</v>
      </c>
      <c r="D58" s="76" t="inlineStr">
        <is>
          <t>Srivathsan G</t>
        </is>
      </c>
      <c r="E58" s="76" t="inlineStr">
        <is>
          <t>srivathsan2410345@ssn.edu.in</t>
        </is>
      </c>
      <c r="F58" s="71" t="inlineStr">
        <is>
          <t>P</t>
        </is>
      </c>
      <c r="G58" s="92" t="inlineStr">
        <is>
          <t>A</t>
        </is>
      </c>
      <c r="H58" s="92" t="inlineStr">
        <is>
          <t>A</t>
        </is>
      </c>
      <c r="I58" s="71" t="inlineStr">
        <is>
          <t>P</t>
        </is>
      </c>
      <c r="J58" s="92" t="inlineStr">
        <is>
          <t>A</t>
        </is>
      </c>
      <c r="K58" s="71" t="inlineStr">
        <is>
          <t>P</t>
        </is>
      </c>
      <c r="L58" s="71" t="inlineStr">
        <is>
          <t>P</t>
        </is>
      </c>
      <c r="M58" s="71" t="inlineStr">
        <is>
          <t>P</t>
        </is>
      </c>
      <c r="N58" s="71" t="inlineStr">
        <is>
          <t>P</t>
        </is>
      </c>
      <c r="O58" s="71" t="n"/>
      <c r="P58" s="71" t="n"/>
      <c r="Q58" s="71" t="n">
        <v>132</v>
      </c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1" t="n"/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>
        <f>COUNTIF(F58:BH58,"P")</f>
        <v/>
      </c>
      <c r="BJ58" s="71">
        <f>SUM((BI58/BI12)*100)</f>
        <v/>
      </c>
    </row>
    <row r="59" ht="21" customHeight="1" s="55">
      <c r="A59" s="73" t="n">
        <v>47</v>
      </c>
      <c r="B59" s="74" t="n">
        <v>2410867</v>
      </c>
      <c r="C59" s="75" t="n">
        <v>3122245002113</v>
      </c>
      <c r="D59" s="76" t="inlineStr">
        <is>
          <t>Sudharsan S</t>
        </is>
      </c>
      <c r="E59" s="76" t="inlineStr">
        <is>
          <t>sudharsan2410867@ssn.edu.in</t>
        </is>
      </c>
      <c r="F59" s="71" t="inlineStr">
        <is>
          <t>P</t>
        </is>
      </c>
      <c r="G59" s="71" t="inlineStr">
        <is>
          <t>P</t>
        </is>
      </c>
      <c r="H59" s="71" t="inlineStr">
        <is>
          <t>P</t>
        </is>
      </c>
      <c r="I59" s="71" t="inlineStr">
        <is>
          <t>P</t>
        </is>
      </c>
      <c r="J59" s="71" t="inlineStr">
        <is>
          <t>P</t>
        </is>
      </c>
      <c r="K59" s="71" t="inlineStr">
        <is>
          <t>P</t>
        </is>
      </c>
      <c r="L59" s="71" t="inlineStr">
        <is>
          <t>P</t>
        </is>
      </c>
      <c r="M59" s="71" t="inlineStr">
        <is>
          <t>P</t>
        </is>
      </c>
      <c r="N59" s="71" t="inlineStr">
        <is>
          <t>P</t>
        </is>
      </c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1" t="n"/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>
        <f>COUNTIF(F59:BH59,"P")</f>
        <v/>
      </c>
      <c r="BJ59" s="71">
        <f>SUM((BI59/BI12)*100)</f>
        <v/>
      </c>
    </row>
    <row r="60" ht="21" customHeight="1" s="55">
      <c r="A60" s="73" t="n">
        <v>48</v>
      </c>
      <c r="B60" s="74" t="n">
        <v>2410309</v>
      </c>
      <c r="C60" s="75" t="n">
        <v>3122245002114</v>
      </c>
      <c r="D60" s="76" t="inlineStr">
        <is>
          <t>Sunitha Adluru</t>
        </is>
      </c>
      <c r="E60" s="76" t="inlineStr">
        <is>
          <t>sunitha2410309@ssn.edu.in</t>
        </is>
      </c>
      <c r="F60" s="71" t="inlineStr">
        <is>
          <t>P</t>
        </is>
      </c>
      <c r="G60" s="71" t="inlineStr">
        <is>
          <t>P</t>
        </is>
      </c>
      <c r="H60" s="71" t="inlineStr">
        <is>
          <t>P</t>
        </is>
      </c>
      <c r="I60" s="71" t="inlineStr">
        <is>
          <t>P</t>
        </is>
      </c>
      <c r="J60" s="71" t="inlineStr">
        <is>
          <t>P</t>
        </is>
      </c>
      <c r="K60" s="71" t="inlineStr">
        <is>
          <t>P</t>
        </is>
      </c>
      <c r="L60" s="71" t="inlineStr">
        <is>
          <t>P</t>
        </is>
      </c>
      <c r="M60" s="71" t="inlineStr">
        <is>
          <t>P</t>
        </is>
      </c>
      <c r="N60" s="71" t="inlineStr">
        <is>
          <t>P</t>
        </is>
      </c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>
        <f>COUNTIF(F60:BH60,"P")</f>
        <v/>
      </c>
      <c r="BJ60" s="71">
        <f>SUM((BI60/BI12)*100)</f>
        <v/>
      </c>
    </row>
    <row r="61" ht="21" customHeight="1" s="55">
      <c r="A61" s="73" t="n">
        <v>49</v>
      </c>
      <c r="B61" s="74" t="n">
        <v>2410404</v>
      </c>
      <c r="C61" s="75" t="n">
        <v>3122245002115</v>
      </c>
      <c r="D61" s="76" t="inlineStr">
        <is>
          <t>Supritha R</t>
        </is>
      </c>
      <c r="E61" s="76" t="inlineStr">
        <is>
          <t>supritha2410404@ssn.edu.in</t>
        </is>
      </c>
      <c r="F61" s="71" t="inlineStr">
        <is>
          <t>P</t>
        </is>
      </c>
      <c r="G61" s="71" t="inlineStr">
        <is>
          <t>P</t>
        </is>
      </c>
      <c r="H61" s="71" t="inlineStr">
        <is>
          <t>P</t>
        </is>
      </c>
      <c r="I61" s="71" t="inlineStr">
        <is>
          <t>P</t>
        </is>
      </c>
      <c r="J61" s="71" t="inlineStr">
        <is>
          <t>P</t>
        </is>
      </c>
      <c r="K61" s="71" t="inlineStr">
        <is>
          <t>P</t>
        </is>
      </c>
      <c r="L61" s="71" t="inlineStr">
        <is>
          <t>P</t>
        </is>
      </c>
      <c r="M61" s="71" t="inlineStr">
        <is>
          <t>P</t>
        </is>
      </c>
      <c r="N61" s="71" t="inlineStr">
        <is>
          <t>P</t>
        </is>
      </c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1" t="n"/>
      <c r="AE61" s="71" t="n"/>
      <c r="AF61" s="71" t="n"/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1" t="n"/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>
        <f>COUNTIF(F61:BH61,"P")</f>
        <v/>
      </c>
      <c r="BJ61" s="71">
        <f>SUM((BI61/BI12)*100)</f>
        <v/>
      </c>
    </row>
    <row r="62" ht="21" customHeight="1" s="55">
      <c r="A62" s="73" t="n">
        <v>50</v>
      </c>
      <c r="B62" s="74" t="n">
        <v>2410239</v>
      </c>
      <c r="C62" s="75" t="n">
        <v>3122245002116</v>
      </c>
      <c r="D62" s="76" t="inlineStr">
        <is>
          <t>Sweta Sri P</t>
        </is>
      </c>
      <c r="E62" s="76" t="inlineStr">
        <is>
          <t>swetasri2410239@ssn.edu.in</t>
        </is>
      </c>
      <c r="F62" s="71" t="inlineStr">
        <is>
          <t>P</t>
        </is>
      </c>
      <c r="G62" s="71" t="inlineStr">
        <is>
          <t>P</t>
        </is>
      </c>
      <c r="H62" s="71" t="inlineStr">
        <is>
          <t>P</t>
        </is>
      </c>
      <c r="I62" s="71" t="inlineStr">
        <is>
          <t>P</t>
        </is>
      </c>
      <c r="J62" s="71" t="inlineStr">
        <is>
          <t>P</t>
        </is>
      </c>
      <c r="K62" s="71" t="inlineStr">
        <is>
          <t>P</t>
        </is>
      </c>
      <c r="L62" s="71" t="inlineStr">
        <is>
          <t>P</t>
        </is>
      </c>
      <c r="M62" s="71" t="inlineStr">
        <is>
          <t>P</t>
        </is>
      </c>
      <c r="N62" s="71" t="inlineStr">
        <is>
          <t>P</t>
        </is>
      </c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1" t="n"/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>
        <f>COUNTIF(F62:BH62,"P")</f>
        <v/>
      </c>
      <c r="BJ62" s="71">
        <f>SUM((BI62/BI12)*100)</f>
        <v/>
      </c>
    </row>
    <row r="63" ht="21" customHeight="1" s="55">
      <c r="A63" s="73" t="n">
        <v>51</v>
      </c>
      <c r="B63" s="74" t="n">
        <v>2410247</v>
      </c>
      <c r="C63" s="75" t="n">
        <v>3122245002117</v>
      </c>
      <c r="D63" s="76" t="inlineStr">
        <is>
          <t>Tejaswin Bhola</t>
        </is>
      </c>
      <c r="E63" s="76" t="inlineStr">
        <is>
          <t>tejaswin2410247@ssn.edu.in</t>
        </is>
      </c>
      <c r="F63" s="71" t="inlineStr">
        <is>
          <t>P</t>
        </is>
      </c>
      <c r="G63" s="71" t="inlineStr">
        <is>
          <t>P</t>
        </is>
      </c>
      <c r="H63" s="71" t="inlineStr">
        <is>
          <t>P</t>
        </is>
      </c>
      <c r="I63" s="71" t="inlineStr">
        <is>
          <t>P</t>
        </is>
      </c>
      <c r="J63" s="71" t="inlineStr">
        <is>
          <t>P</t>
        </is>
      </c>
      <c r="K63" s="71" t="inlineStr">
        <is>
          <t>P</t>
        </is>
      </c>
      <c r="L63" s="71" t="inlineStr">
        <is>
          <t>P</t>
        </is>
      </c>
      <c r="M63" s="71" t="inlineStr">
        <is>
          <t>P</t>
        </is>
      </c>
      <c r="N63" s="71" t="inlineStr">
        <is>
          <t>P</t>
        </is>
      </c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>
        <f>COUNTIF(F63:BH63,"P")</f>
        <v/>
      </c>
      <c r="BJ63" s="71">
        <f>SUM((BI63/BI12)*100)</f>
        <v/>
      </c>
    </row>
    <row r="64" ht="21" customHeight="1" s="55">
      <c r="A64" s="73" t="n">
        <v>52</v>
      </c>
      <c r="B64" s="74" t="n">
        <v>2410699</v>
      </c>
      <c r="C64" s="75" t="n">
        <v>3122245002118</v>
      </c>
      <c r="D64" s="76" t="inlineStr">
        <is>
          <t>Thamizhini R</t>
        </is>
      </c>
      <c r="E64" s="76" t="inlineStr">
        <is>
          <t>thamizhini2410699@ssn.edu.in</t>
        </is>
      </c>
      <c r="F64" s="92" t="inlineStr">
        <is>
          <t>A</t>
        </is>
      </c>
      <c r="G64" s="71" t="inlineStr">
        <is>
          <t>P</t>
        </is>
      </c>
      <c r="H64" s="71" t="inlineStr">
        <is>
          <t>P</t>
        </is>
      </c>
      <c r="I64" s="92" t="inlineStr">
        <is>
          <t>A</t>
        </is>
      </c>
      <c r="J64" s="92" t="inlineStr">
        <is>
          <t>A</t>
        </is>
      </c>
      <c r="K64" s="71" t="inlineStr">
        <is>
          <t>P</t>
        </is>
      </c>
      <c r="L64" s="71" t="inlineStr">
        <is>
          <t>P</t>
        </is>
      </c>
      <c r="M64" s="71" t="inlineStr">
        <is>
          <t>P</t>
        </is>
      </c>
      <c r="N64" s="71" t="inlineStr">
        <is>
          <t>P</t>
        </is>
      </c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>
        <f>COUNTIF(F64:BH64,"P")</f>
        <v/>
      </c>
      <c r="BJ64" s="71">
        <f>SUM((BI64/BI12)*100)</f>
        <v/>
      </c>
    </row>
    <row r="65" ht="21" customHeight="1" s="55">
      <c r="A65" s="73" t="n">
        <v>53</v>
      </c>
      <c r="B65" s="74" t="n">
        <v>2410405</v>
      </c>
      <c r="C65" s="75" t="n">
        <v>3122245002119</v>
      </c>
      <c r="D65" s="76" t="inlineStr">
        <is>
          <t>Tharun Balaji M</t>
        </is>
      </c>
      <c r="E65" s="76" t="inlineStr">
        <is>
          <t>tharunbalaji2410405@ssn.edu.in</t>
        </is>
      </c>
      <c r="F65" s="71" t="inlineStr">
        <is>
          <t>P</t>
        </is>
      </c>
      <c r="G65" s="71" t="inlineStr">
        <is>
          <t>P</t>
        </is>
      </c>
      <c r="H65" s="71" t="inlineStr">
        <is>
          <t>P</t>
        </is>
      </c>
      <c r="I65" s="71" t="inlineStr">
        <is>
          <t>P</t>
        </is>
      </c>
      <c r="J65" s="71" t="inlineStr">
        <is>
          <t>P</t>
        </is>
      </c>
      <c r="K65" s="71" t="inlineStr">
        <is>
          <t>P</t>
        </is>
      </c>
      <c r="L65" s="71" t="inlineStr">
        <is>
          <t>P</t>
        </is>
      </c>
      <c r="M65" s="71" t="inlineStr">
        <is>
          <t>P</t>
        </is>
      </c>
      <c r="N65" s="71" t="inlineStr">
        <is>
          <t>P</t>
        </is>
      </c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1" t="n"/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>
        <f>COUNTIF(F65:BH65,"P")</f>
        <v/>
      </c>
      <c r="BJ65" s="71">
        <f>SUM((BI65/BI12)*100)</f>
        <v/>
      </c>
    </row>
    <row r="66" ht="21" customHeight="1" s="55">
      <c r="A66" s="73" t="n">
        <v>54</v>
      </c>
      <c r="B66" s="74" t="n">
        <v>2410785</v>
      </c>
      <c r="C66" s="75" t="n">
        <v>3122245002120</v>
      </c>
      <c r="D66" s="76" t="inlineStr">
        <is>
          <t>Thavasi M</t>
        </is>
      </c>
      <c r="E66" s="76" t="inlineStr">
        <is>
          <t>thavasi2410785@ssn.edu.in</t>
        </is>
      </c>
      <c r="F66" s="71" t="inlineStr">
        <is>
          <t>P</t>
        </is>
      </c>
      <c r="G66" s="71" t="inlineStr">
        <is>
          <t>P</t>
        </is>
      </c>
      <c r="H66" s="71" t="inlineStr">
        <is>
          <t>P</t>
        </is>
      </c>
      <c r="I66" s="71" t="inlineStr">
        <is>
          <t>P</t>
        </is>
      </c>
      <c r="J66" s="71" t="inlineStr">
        <is>
          <t>P</t>
        </is>
      </c>
      <c r="K66" s="71" t="inlineStr">
        <is>
          <t>P</t>
        </is>
      </c>
      <c r="L66" s="71" t="inlineStr">
        <is>
          <t>P</t>
        </is>
      </c>
      <c r="M66" s="71" t="inlineStr">
        <is>
          <t>P</t>
        </is>
      </c>
      <c r="N66" s="71" t="inlineStr">
        <is>
          <t>P</t>
        </is>
      </c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1" t="n"/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>
        <f>COUNTIF(F66:BH66,"P")</f>
        <v/>
      </c>
      <c r="BJ66" s="71">
        <f>SUM((BI66/BI12)*100)</f>
        <v/>
      </c>
    </row>
    <row r="67" ht="21" customHeight="1" s="55">
      <c r="A67" s="73" t="n">
        <v>55</v>
      </c>
      <c r="B67" s="74" t="n">
        <v>2410584</v>
      </c>
      <c r="C67" s="75" t="n">
        <v>3122245002121</v>
      </c>
      <c r="D67" s="76" t="inlineStr">
        <is>
          <t>Thirukkumaran V M</t>
        </is>
      </c>
      <c r="E67" s="76" t="inlineStr">
        <is>
          <t>thirukkumaran2410584@ssn.edu.in</t>
        </is>
      </c>
      <c r="F67" s="92" t="inlineStr">
        <is>
          <t>A</t>
        </is>
      </c>
      <c r="G67" s="71" t="inlineStr">
        <is>
          <t>P</t>
        </is>
      </c>
      <c r="H67" s="71" t="inlineStr">
        <is>
          <t>P</t>
        </is>
      </c>
      <c r="I67" s="71" t="inlineStr">
        <is>
          <t>P</t>
        </is>
      </c>
      <c r="J67" s="92" t="inlineStr">
        <is>
          <t>A</t>
        </is>
      </c>
      <c r="K67" s="71" t="inlineStr">
        <is>
          <t>P</t>
        </is>
      </c>
      <c r="L67" s="71" t="inlineStr">
        <is>
          <t>P</t>
        </is>
      </c>
      <c r="M67" s="71" t="inlineStr">
        <is>
          <t>P</t>
        </is>
      </c>
      <c r="N67" s="71" t="inlineStr">
        <is>
          <t>P</t>
        </is>
      </c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1" t="n"/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>
        <f>COUNTIF(F67:BH67,"P")</f>
        <v/>
      </c>
      <c r="BJ67" s="71">
        <f>SUM((BI67/BI12)*100)</f>
        <v/>
      </c>
    </row>
    <row r="68" ht="21" customHeight="1" s="55">
      <c r="A68" s="73" t="n">
        <v>56</v>
      </c>
      <c r="B68" s="74" t="n">
        <v>2410413</v>
      </c>
      <c r="C68" s="75" t="n">
        <v>3122245002122</v>
      </c>
      <c r="D68" s="76" t="inlineStr">
        <is>
          <t>Varsha M</t>
        </is>
      </c>
      <c r="E68" s="76" t="inlineStr">
        <is>
          <t>varsha2410413@ssn.edu.in</t>
        </is>
      </c>
      <c r="F68" s="92" t="inlineStr">
        <is>
          <t>A</t>
        </is>
      </c>
      <c r="G68" s="71" t="inlineStr">
        <is>
          <t>P</t>
        </is>
      </c>
      <c r="H68" s="71" t="inlineStr">
        <is>
          <t>P</t>
        </is>
      </c>
      <c r="I68" s="71" t="inlineStr">
        <is>
          <t>P</t>
        </is>
      </c>
      <c r="J68" s="71" t="inlineStr">
        <is>
          <t>P</t>
        </is>
      </c>
      <c r="K68" s="71" t="inlineStr">
        <is>
          <t>P</t>
        </is>
      </c>
      <c r="L68" s="71" t="inlineStr">
        <is>
          <t>P</t>
        </is>
      </c>
      <c r="M68" s="71" t="inlineStr">
        <is>
          <t>P</t>
        </is>
      </c>
      <c r="N68" s="71" t="inlineStr">
        <is>
          <t>P</t>
        </is>
      </c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1" t="n"/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>
        <f>COUNTIF(F68:BH68,"P")</f>
        <v/>
      </c>
      <c r="BJ68" s="71">
        <f>SUM((BI68/BI12)*100)</f>
        <v/>
      </c>
    </row>
    <row r="69" ht="21" customHeight="1" s="55">
      <c r="A69" s="73" t="n">
        <v>57</v>
      </c>
      <c r="B69" s="74" t="n">
        <v>2410848</v>
      </c>
      <c r="C69" s="75" t="n">
        <v>3122245002123</v>
      </c>
      <c r="D69" s="76" t="inlineStr">
        <is>
          <t>Varsha S</t>
        </is>
      </c>
      <c r="E69" s="76" t="inlineStr">
        <is>
          <t>varsha2410848@ssn.edu.in</t>
        </is>
      </c>
      <c r="F69" s="92" t="inlineStr">
        <is>
          <t>A</t>
        </is>
      </c>
      <c r="G69" s="92" t="inlineStr">
        <is>
          <t>A</t>
        </is>
      </c>
      <c r="H69" s="71" t="inlineStr">
        <is>
          <t>P</t>
        </is>
      </c>
      <c r="I69" s="71" t="inlineStr">
        <is>
          <t>P</t>
        </is>
      </c>
      <c r="J69" s="71" t="inlineStr">
        <is>
          <t>P</t>
        </is>
      </c>
      <c r="K69" s="71" t="inlineStr">
        <is>
          <t>P</t>
        </is>
      </c>
      <c r="L69" s="71" t="inlineStr">
        <is>
          <t>P</t>
        </is>
      </c>
      <c r="M69" s="71" t="inlineStr">
        <is>
          <t>P</t>
        </is>
      </c>
      <c r="N69" s="71" t="inlineStr">
        <is>
          <t>P</t>
        </is>
      </c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1" t="n"/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>
        <f>COUNTIF(F69:BH69,"P")</f>
        <v/>
      </c>
      <c r="BJ69" s="71">
        <f>SUM((BI69/BI12)*100)</f>
        <v/>
      </c>
    </row>
    <row r="70" ht="21" customHeight="1" s="55">
      <c r="A70" s="73" t="n">
        <v>58</v>
      </c>
      <c r="B70" s="74" t="n">
        <v>2410804</v>
      </c>
      <c r="C70" s="75" t="n">
        <v>3122245002124</v>
      </c>
      <c r="D70" s="76" t="inlineStr">
        <is>
          <t>Vijai T</t>
        </is>
      </c>
      <c r="E70" s="76" t="inlineStr">
        <is>
          <t>vijai2410804@ssn.edu.in</t>
        </is>
      </c>
      <c r="F70" s="71" t="inlineStr">
        <is>
          <t>P</t>
        </is>
      </c>
      <c r="G70" s="92" t="inlineStr">
        <is>
          <t>A</t>
        </is>
      </c>
      <c r="H70" s="71" t="inlineStr">
        <is>
          <t>P</t>
        </is>
      </c>
      <c r="I70" s="71" t="inlineStr">
        <is>
          <t>P</t>
        </is>
      </c>
      <c r="J70" s="71" t="inlineStr">
        <is>
          <t>P</t>
        </is>
      </c>
      <c r="K70" s="71" t="inlineStr">
        <is>
          <t>P</t>
        </is>
      </c>
      <c r="L70" s="71" t="inlineStr">
        <is>
          <t>P</t>
        </is>
      </c>
      <c r="M70" s="71" t="inlineStr">
        <is>
          <t>P</t>
        </is>
      </c>
      <c r="N70" s="71" t="inlineStr">
        <is>
          <t>P</t>
        </is>
      </c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  <c r="AJ70" s="71" t="n"/>
      <c r="AK70" s="71" t="n"/>
      <c r="AL70" s="71" t="n"/>
      <c r="AM70" s="71" t="n"/>
      <c r="AN70" s="71" t="n"/>
      <c r="AO70" s="71" t="n"/>
      <c r="AP70" s="71" t="n"/>
      <c r="AQ70" s="71" t="n"/>
      <c r="AR70" s="71" t="n"/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>
        <f>COUNTIF(F70:BH70,"P")</f>
        <v/>
      </c>
      <c r="BJ70" s="71">
        <f>SUM((BI70/BI12)*100)</f>
        <v/>
      </c>
    </row>
    <row r="71" ht="21" customHeight="1" s="55">
      <c r="A71" s="73" t="n">
        <v>59</v>
      </c>
      <c r="B71" s="74" t="n">
        <v>2410586</v>
      </c>
      <c r="C71" s="75" t="n">
        <v>3122245002125</v>
      </c>
      <c r="D71" s="76" t="inlineStr">
        <is>
          <t>Vimal Raj M</t>
        </is>
      </c>
      <c r="E71" s="76" t="inlineStr">
        <is>
          <t>vimalraj2410586@ssn.edu.in</t>
        </is>
      </c>
      <c r="F71" s="71" t="inlineStr">
        <is>
          <t>P</t>
        </is>
      </c>
      <c r="G71" s="71" t="inlineStr">
        <is>
          <t>P</t>
        </is>
      </c>
      <c r="H71" s="71" t="inlineStr">
        <is>
          <t>P</t>
        </is>
      </c>
      <c r="I71" s="71" t="inlineStr">
        <is>
          <t>P</t>
        </is>
      </c>
      <c r="J71" s="71" t="inlineStr">
        <is>
          <t>P</t>
        </is>
      </c>
      <c r="K71" s="71" t="inlineStr">
        <is>
          <t>P</t>
        </is>
      </c>
      <c r="L71" s="71" t="inlineStr">
        <is>
          <t>P</t>
        </is>
      </c>
      <c r="M71" s="71" t="inlineStr">
        <is>
          <t>P</t>
        </is>
      </c>
      <c r="N71" s="71" t="inlineStr">
        <is>
          <t>P</t>
        </is>
      </c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>
        <f>COUNTIF(F71:BH71,"P")</f>
        <v/>
      </c>
      <c r="BJ71" s="71">
        <f>SUM((BI71/BI12)*100)</f>
        <v/>
      </c>
    </row>
    <row r="72" ht="21" customHeight="1" s="55">
      <c r="A72" s="73" t="n">
        <v>60</v>
      </c>
      <c r="B72" s="74" t="n">
        <v>2410781</v>
      </c>
      <c r="C72" s="75" t="n">
        <v>3122245002126</v>
      </c>
      <c r="D72" s="76" t="inlineStr">
        <is>
          <t>Vinobalan K</t>
        </is>
      </c>
      <c r="E72" s="76" t="inlineStr">
        <is>
          <t>vinobalan2410781@ssn.edu.in</t>
        </is>
      </c>
      <c r="F72" s="71" t="inlineStr">
        <is>
          <t>P</t>
        </is>
      </c>
      <c r="G72" s="71" t="inlineStr">
        <is>
          <t>P</t>
        </is>
      </c>
      <c r="H72" s="71" t="inlineStr">
        <is>
          <t>P</t>
        </is>
      </c>
      <c r="I72" s="71" t="inlineStr">
        <is>
          <t>P</t>
        </is>
      </c>
      <c r="J72" s="71" t="inlineStr">
        <is>
          <t>P</t>
        </is>
      </c>
      <c r="K72" s="71" t="inlineStr">
        <is>
          <t>P</t>
        </is>
      </c>
      <c r="L72" s="71" t="inlineStr">
        <is>
          <t>P</t>
        </is>
      </c>
      <c r="M72" s="71" t="inlineStr">
        <is>
          <t>P</t>
        </is>
      </c>
      <c r="N72" s="71" t="inlineStr">
        <is>
          <t>P</t>
        </is>
      </c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>
        <f>COUNTIF(F72:BH72,"P")</f>
        <v/>
      </c>
      <c r="BJ72" s="71">
        <f>SUM((BI72/BI12)*100)</f>
        <v/>
      </c>
    </row>
    <row r="73" ht="21" customHeight="1" s="55">
      <c r="A73" s="73" t="n">
        <v>61</v>
      </c>
      <c r="B73" s="74" t="n">
        <v>2410739</v>
      </c>
      <c r="C73" s="75" t="n">
        <v>3122245002127</v>
      </c>
      <c r="D73" s="76" t="inlineStr">
        <is>
          <t>Vishnu A</t>
        </is>
      </c>
      <c r="E73" s="76" t="inlineStr">
        <is>
          <t>vishnu2410739@ssn.edu.in</t>
        </is>
      </c>
      <c r="F73" s="71" t="inlineStr">
        <is>
          <t>P</t>
        </is>
      </c>
      <c r="G73" s="71" t="inlineStr">
        <is>
          <t>P</t>
        </is>
      </c>
      <c r="H73" s="71" t="inlineStr">
        <is>
          <t>P</t>
        </is>
      </c>
      <c r="I73" s="71" t="inlineStr">
        <is>
          <t>P</t>
        </is>
      </c>
      <c r="J73" s="71" t="inlineStr">
        <is>
          <t>P</t>
        </is>
      </c>
      <c r="K73" s="71" t="inlineStr">
        <is>
          <t>P</t>
        </is>
      </c>
      <c r="L73" s="71" t="inlineStr">
        <is>
          <t>P</t>
        </is>
      </c>
      <c r="M73" s="71" t="inlineStr">
        <is>
          <t>P</t>
        </is>
      </c>
      <c r="N73" s="71" t="inlineStr">
        <is>
          <t>P</t>
        </is>
      </c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1" t="n"/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>
        <f>COUNTIF(F73:BH73,"P")</f>
        <v/>
      </c>
      <c r="BJ73" s="71">
        <f>SUM((BI73/BI12)*100)</f>
        <v/>
      </c>
    </row>
    <row r="74" ht="21" customHeight="1" s="55">
      <c r="A74" s="73" t="n">
        <v>62</v>
      </c>
      <c r="B74" s="74" t="n">
        <v>2410079</v>
      </c>
      <c r="C74" s="75" t="n">
        <v>3122245002128</v>
      </c>
      <c r="D74" s="76" t="inlineStr">
        <is>
          <t>Yasasvini Tiwari</t>
        </is>
      </c>
      <c r="E74" s="76" t="inlineStr">
        <is>
          <t>yasasvini2410079@ssn.edu.in</t>
        </is>
      </c>
      <c r="F74" s="92" t="inlineStr">
        <is>
          <t>A</t>
        </is>
      </c>
      <c r="G74" s="71" t="inlineStr">
        <is>
          <t>P</t>
        </is>
      </c>
      <c r="H74" s="92" t="inlineStr">
        <is>
          <t>A</t>
        </is>
      </c>
      <c r="I74" s="92" t="inlineStr">
        <is>
          <t>A</t>
        </is>
      </c>
      <c r="J74" s="92" t="inlineStr">
        <is>
          <t>A</t>
        </is>
      </c>
      <c r="K74" s="71" t="inlineStr">
        <is>
          <t>P</t>
        </is>
      </c>
      <c r="L74" s="71" t="inlineStr">
        <is>
          <t>P</t>
        </is>
      </c>
      <c r="M74" s="71" t="inlineStr">
        <is>
          <t>P</t>
        </is>
      </c>
      <c r="N74" s="71" t="inlineStr">
        <is>
          <t>P</t>
        </is>
      </c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1" t="n"/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>
        <f>COUNTIF(F74:BH74,"P")</f>
        <v/>
      </c>
      <c r="BJ74" s="71">
        <f>SUM((BI74/BI12)*100)</f>
        <v/>
      </c>
    </row>
    <row r="75" ht="21" customHeight="1" s="55">
      <c r="A75" s="73" t="n">
        <v>63</v>
      </c>
      <c r="B75" s="74" t="n">
        <v>2410480</v>
      </c>
      <c r="C75" s="75" t="n">
        <v>3122245002129</v>
      </c>
      <c r="D75" s="76" t="inlineStr">
        <is>
          <t>Yashwanth B</t>
        </is>
      </c>
      <c r="E75" s="76" t="inlineStr">
        <is>
          <t>yashwanth2410480@ssn.edu.in</t>
        </is>
      </c>
      <c r="F75" s="71" t="inlineStr">
        <is>
          <t>P</t>
        </is>
      </c>
      <c r="G75" s="71" t="inlineStr">
        <is>
          <t>P</t>
        </is>
      </c>
      <c r="H75" s="71" t="inlineStr">
        <is>
          <t>P</t>
        </is>
      </c>
      <c r="I75" s="71" t="inlineStr">
        <is>
          <t>P</t>
        </is>
      </c>
      <c r="J75" s="71" t="inlineStr">
        <is>
          <t>P</t>
        </is>
      </c>
      <c r="K75" s="71" t="inlineStr">
        <is>
          <t>P</t>
        </is>
      </c>
      <c r="L75" s="71" t="inlineStr">
        <is>
          <t>P</t>
        </is>
      </c>
      <c r="M75" s="71" t="inlineStr">
        <is>
          <t>P</t>
        </is>
      </c>
      <c r="N75" s="71" t="inlineStr">
        <is>
          <t>P</t>
        </is>
      </c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1" t="n"/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>
        <f>COUNTIF(F75:BH75,"P")</f>
        <v/>
      </c>
      <c r="BJ75" s="71">
        <f>SUM((BI75/BI12)*100)</f>
        <v/>
      </c>
    </row>
    <row r="76" ht="21" customHeight="1" s="55">
      <c r="A76" s="73" t="n">
        <v>64</v>
      </c>
      <c r="B76" s="74" t="n">
        <v>2410433</v>
      </c>
      <c r="C76" s="75" t="n">
        <v>3122245002130</v>
      </c>
      <c r="D76" s="76" t="inlineStr">
        <is>
          <t>Yashwanth R</t>
        </is>
      </c>
      <c r="E76" s="76" t="inlineStr">
        <is>
          <t>yashwanth2410433@ssn.edu.in</t>
        </is>
      </c>
      <c r="F76" s="92" t="inlineStr">
        <is>
          <t>A</t>
        </is>
      </c>
      <c r="G76" s="92" t="inlineStr">
        <is>
          <t>A</t>
        </is>
      </c>
      <c r="H76" s="92" t="inlineStr">
        <is>
          <t>A</t>
        </is>
      </c>
      <c r="I76" s="92" t="inlineStr">
        <is>
          <t>A</t>
        </is>
      </c>
      <c r="J76" s="92" t="inlineStr">
        <is>
          <t>A</t>
        </is>
      </c>
      <c r="K76" s="71" t="inlineStr">
        <is>
          <t>P</t>
        </is>
      </c>
      <c r="L76" s="71" t="inlineStr">
        <is>
          <t>P</t>
        </is>
      </c>
      <c r="M76" s="71" t="inlineStr">
        <is>
          <t>P</t>
        </is>
      </c>
      <c r="N76" s="71" t="inlineStr">
        <is>
          <t>P</t>
        </is>
      </c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1" t="n"/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>
        <f>COUNTIF(F76:BH76,"P")</f>
        <v/>
      </c>
      <c r="BJ76" s="71">
        <f>SUM((BI76/BI12)*100)</f>
        <v/>
      </c>
    </row>
    <row r="77" ht="21" customHeight="1" s="55">
      <c r="A77" s="73" t="n">
        <v>65</v>
      </c>
      <c r="B77" s="74" t="n">
        <v>2410096</v>
      </c>
      <c r="C77" s="75" t="n">
        <v>3122245002131</v>
      </c>
      <c r="D77" s="76" t="inlineStr">
        <is>
          <t>Yasmithasri B</t>
        </is>
      </c>
      <c r="E77" s="76" t="inlineStr">
        <is>
          <t>yasmithasri2410096@ssn.edu.in</t>
        </is>
      </c>
      <c r="F77" s="92" t="inlineStr">
        <is>
          <t>A</t>
        </is>
      </c>
      <c r="G77" s="71" t="inlineStr">
        <is>
          <t>P</t>
        </is>
      </c>
      <c r="H77" s="71" t="inlineStr">
        <is>
          <t>P</t>
        </is>
      </c>
      <c r="I77" s="71" t="inlineStr">
        <is>
          <t>P</t>
        </is>
      </c>
      <c r="J77" s="71" t="inlineStr">
        <is>
          <t>P</t>
        </is>
      </c>
      <c r="K77" s="71" t="inlineStr">
        <is>
          <t>P</t>
        </is>
      </c>
      <c r="L77" s="71" t="inlineStr">
        <is>
          <t>P</t>
        </is>
      </c>
      <c r="M77" s="71" t="inlineStr">
        <is>
          <t>P</t>
        </is>
      </c>
      <c r="N77" s="71" t="inlineStr">
        <is>
          <t>P</t>
        </is>
      </c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1" t="n"/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>
        <f>COUNTIF(F77:BH77,"P")</f>
        <v/>
      </c>
      <c r="BJ77" s="71">
        <f>SUM((BI77/BI12)*100)</f>
        <v/>
      </c>
    </row>
    <row r="78" ht="21" customHeight="1" s="55">
      <c r="A78" s="73" t="n">
        <v>66</v>
      </c>
      <c r="B78" s="74" t="n">
        <v>2410990</v>
      </c>
      <c r="C78" s="75" t="n">
        <v>3122245002132</v>
      </c>
      <c r="D78" s="76" t="inlineStr">
        <is>
          <t>Yuvanitha A R</t>
        </is>
      </c>
      <c r="E78" s="76" t="inlineStr">
        <is>
          <t>yuvanitha2410990@ssn.edu.in</t>
        </is>
      </c>
      <c r="F78" s="71" t="inlineStr">
        <is>
          <t>P</t>
        </is>
      </c>
      <c r="G78" s="71" t="inlineStr">
        <is>
          <t>P</t>
        </is>
      </c>
      <c r="H78" s="71" t="inlineStr">
        <is>
          <t>P</t>
        </is>
      </c>
      <c r="I78" s="71" t="inlineStr">
        <is>
          <t>P</t>
        </is>
      </c>
      <c r="J78" s="71" t="inlineStr">
        <is>
          <t>P</t>
        </is>
      </c>
      <c r="K78" s="71" t="inlineStr">
        <is>
          <t>P</t>
        </is>
      </c>
      <c r="L78" s="71" t="inlineStr">
        <is>
          <t>P</t>
        </is>
      </c>
      <c r="M78" s="71" t="inlineStr">
        <is>
          <t>P</t>
        </is>
      </c>
      <c r="N78" s="71" t="inlineStr">
        <is>
          <t>P</t>
        </is>
      </c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1" t="n"/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>
        <f>COUNTIF(F78:BH78,"P")</f>
        <v/>
      </c>
      <c r="BJ78" s="71">
        <f>SUM((BI78/BI12)*100)</f>
        <v/>
      </c>
    </row>
    <row r="79" ht="21" customHeight="1" s="55">
      <c r="A79" s="73" t="n">
        <v>67</v>
      </c>
      <c r="B79" s="74" t="n">
        <v>2412049</v>
      </c>
      <c r="C79" s="75" t="n">
        <v>3122245002304</v>
      </c>
      <c r="D79" s="76" t="inlineStr">
        <is>
          <t>Darshan S S</t>
        </is>
      </c>
      <c r="E79" s="76" t="inlineStr">
        <is>
          <t>darshan2412049@ssn.edu.in</t>
        </is>
      </c>
      <c r="F79" s="92" t="inlineStr">
        <is>
          <t>A</t>
        </is>
      </c>
      <c r="G79" s="92" t="inlineStr">
        <is>
          <t>A</t>
        </is>
      </c>
      <c r="H79" s="92" t="inlineStr">
        <is>
          <t>A</t>
        </is>
      </c>
      <c r="I79" s="92" t="inlineStr">
        <is>
          <t>A</t>
        </is>
      </c>
      <c r="J79" s="92" t="inlineStr">
        <is>
          <t>A</t>
        </is>
      </c>
      <c r="K79" s="71" t="inlineStr">
        <is>
          <t>P</t>
        </is>
      </c>
      <c r="L79" s="71" t="inlineStr">
        <is>
          <t>P</t>
        </is>
      </c>
      <c r="M79" s="71" t="inlineStr">
        <is>
          <t>P</t>
        </is>
      </c>
      <c r="N79" s="71" t="inlineStr">
        <is>
          <t>P</t>
        </is>
      </c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  <c r="Z79" s="71" t="n"/>
      <c r="AA79" s="71" t="n"/>
      <c r="AB79" s="71" t="n"/>
      <c r="AC79" s="7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>
        <f>COUNTIF(F79:BH79,"P")</f>
        <v/>
      </c>
      <c r="BJ79" s="71">
        <f>SUM((BI79/BI12)*100)</f>
        <v/>
      </c>
    </row>
    <row r="80" ht="21" customHeight="1" s="55">
      <c r="A80" s="73" t="n">
        <v>68</v>
      </c>
      <c r="B80" s="74" t="n">
        <v>2412046</v>
      </c>
      <c r="C80" s="75" t="n">
        <v>3122245002307</v>
      </c>
      <c r="D80" s="76" t="inlineStr">
        <is>
          <t>Manojkumar G</t>
        </is>
      </c>
      <c r="E80" s="76" t="inlineStr">
        <is>
          <t>manojkumar2412046@ssn.edu.in</t>
        </is>
      </c>
      <c r="F80" s="92" t="inlineStr">
        <is>
          <t>A</t>
        </is>
      </c>
      <c r="G80" s="92" t="inlineStr">
        <is>
          <t>A</t>
        </is>
      </c>
      <c r="H80" s="92" t="inlineStr">
        <is>
          <t>A</t>
        </is>
      </c>
      <c r="I80" s="92" t="inlineStr">
        <is>
          <t>A</t>
        </is>
      </c>
      <c r="J80" s="71" t="inlineStr">
        <is>
          <t>P</t>
        </is>
      </c>
      <c r="K80" s="71" t="inlineStr">
        <is>
          <t>P</t>
        </is>
      </c>
      <c r="L80" s="71" t="inlineStr">
        <is>
          <t>P</t>
        </is>
      </c>
      <c r="M80" s="71" t="inlineStr">
        <is>
          <t>P</t>
        </is>
      </c>
      <c r="N80" s="71" t="inlineStr">
        <is>
          <t>P</t>
        </is>
      </c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>
        <f>COUNTIF(F80:BH80,"P")</f>
        <v/>
      </c>
      <c r="BJ80" s="71">
        <f>SUM((BI80/BI12)*100)</f>
        <v/>
      </c>
    </row>
    <row r="81" ht="21" customHeight="1" s="55">
      <c r="A81" s="73" t="n">
        <v>69</v>
      </c>
      <c r="B81" s="74" t="n">
        <v>2412010</v>
      </c>
      <c r="C81" s="75" t="n">
        <v>3122245002308</v>
      </c>
      <c r="D81" s="76" t="inlineStr">
        <is>
          <t>Rhea Jenifer P</t>
        </is>
      </c>
      <c r="E81" s="76" t="inlineStr">
        <is>
          <t>rheajenifer2412010@ssn.edu.in</t>
        </is>
      </c>
      <c r="F81" s="71" t="inlineStr">
        <is>
          <t>P</t>
        </is>
      </c>
      <c r="G81" s="92" t="inlineStr">
        <is>
          <t>A</t>
        </is>
      </c>
      <c r="H81" s="92" t="inlineStr">
        <is>
          <t>A</t>
        </is>
      </c>
      <c r="I81" s="92" t="inlineStr">
        <is>
          <t>A</t>
        </is>
      </c>
      <c r="J81" s="71" t="inlineStr">
        <is>
          <t>P</t>
        </is>
      </c>
      <c r="K81" s="71" t="inlineStr">
        <is>
          <t>P</t>
        </is>
      </c>
      <c r="L81" s="71" t="inlineStr">
        <is>
          <t>P</t>
        </is>
      </c>
      <c r="M81" s="71" t="inlineStr">
        <is>
          <t>P</t>
        </is>
      </c>
      <c r="N81" s="71" t="inlineStr">
        <is>
          <t>P</t>
        </is>
      </c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8" t="n"/>
      <c r="AB81" s="88" t="n"/>
      <c r="AC81" s="88" t="n"/>
      <c r="AD81" s="88" t="n"/>
      <c r="AE81" s="88" t="n"/>
      <c r="AF81" s="88" t="n"/>
      <c r="AG81" s="88" t="n"/>
      <c r="AH81" s="88" t="n"/>
      <c r="AI81" s="88" t="n"/>
      <c r="AJ81" s="88" t="n"/>
      <c r="AK81" s="88" t="n"/>
      <c r="AL81" s="88" t="n"/>
      <c r="AM81" s="88" t="n"/>
      <c r="AN81" s="88" t="n"/>
      <c r="AO81" s="88" t="n"/>
      <c r="AP81" s="88" t="n"/>
      <c r="AQ81" s="88" t="n"/>
      <c r="AR81" s="88" t="n"/>
      <c r="AS81" s="88" t="n"/>
      <c r="AT81" s="88" t="n"/>
      <c r="AU81" s="88" t="n"/>
      <c r="AV81" s="88" t="n"/>
      <c r="AW81" s="88" t="n"/>
      <c r="AX81" s="88" t="n"/>
      <c r="AY81" s="88" t="n"/>
      <c r="AZ81" s="88" t="n"/>
      <c r="BA81" s="88" t="n"/>
      <c r="BB81" s="88" t="n"/>
      <c r="BC81" s="88" t="n"/>
      <c r="BD81" s="88" t="n"/>
      <c r="BE81" s="88" t="n"/>
      <c r="BF81" s="88" t="n"/>
      <c r="BG81" s="88" t="n"/>
      <c r="BH81" s="88" t="n"/>
      <c r="BI81" s="88">
        <f>COUNTIF(F81:BH81,"P")</f>
        <v/>
      </c>
      <c r="BJ81" s="88">
        <f>SUM((BI81/BI12)*100)</f>
        <v/>
      </c>
    </row>
    <row r="82" ht="21" customHeight="1" s="55">
      <c r="A82" s="73" t="n">
        <v>70</v>
      </c>
      <c r="B82" s="74" t="n">
        <v>2412073</v>
      </c>
      <c r="C82" s="75" t="n">
        <v>3122245002309</v>
      </c>
      <c r="D82" s="76" t="inlineStr">
        <is>
          <t>Sadhika T S</t>
        </is>
      </c>
      <c r="E82" s="76" t="inlineStr">
        <is>
          <t>sadhika2412073@ssn.edu.in</t>
        </is>
      </c>
      <c r="F82" s="71" t="inlineStr">
        <is>
          <t>P</t>
        </is>
      </c>
      <c r="G82" s="71" t="inlineStr">
        <is>
          <t>P</t>
        </is>
      </c>
      <c r="H82" s="71" t="inlineStr">
        <is>
          <t>P</t>
        </is>
      </c>
      <c r="I82" s="92" t="inlineStr">
        <is>
          <t>A</t>
        </is>
      </c>
      <c r="J82" s="71" t="inlineStr">
        <is>
          <t>P</t>
        </is>
      </c>
      <c r="K82" s="71" t="inlineStr">
        <is>
          <t>P</t>
        </is>
      </c>
      <c r="L82" s="71" t="inlineStr">
        <is>
          <t>P</t>
        </is>
      </c>
      <c r="M82" s="71" t="inlineStr">
        <is>
          <t>P</t>
        </is>
      </c>
      <c r="N82" s="71" t="inlineStr">
        <is>
          <t>P</t>
        </is>
      </c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1" t="n"/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>
        <f>COUNTIF(F82:BH82,"P")</f>
        <v/>
      </c>
      <c r="BJ82" s="71">
        <f>SUM((BI82/BI12)*100)</f>
        <v/>
      </c>
    </row>
    <row r="83" ht="21" customHeight="1" s="55">
      <c r="A83" s="73" t="n">
        <v>71</v>
      </c>
      <c r="B83" s="74" t="n">
        <v>2412001</v>
      </c>
      <c r="C83" s="75" t="n">
        <v>3122245002310</v>
      </c>
      <c r="D83" s="76" t="inlineStr">
        <is>
          <t>Sundararajan R</t>
        </is>
      </c>
      <c r="E83" s="76" t="inlineStr">
        <is>
          <t>sundararajan2412001@ssn.edu.in</t>
        </is>
      </c>
      <c r="F83" s="71" t="inlineStr">
        <is>
          <t>P</t>
        </is>
      </c>
      <c r="G83" s="71" t="inlineStr">
        <is>
          <t>P</t>
        </is>
      </c>
      <c r="H83" s="71" t="inlineStr">
        <is>
          <t>P</t>
        </is>
      </c>
      <c r="I83" s="71" t="inlineStr">
        <is>
          <t>P</t>
        </is>
      </c>
      <c r="J83" s="71" t="inlineStr">
        <is>
          <t>P</t>
        </is>
      </c>
      <c r="K83" s="71" t="inlineStr">
        <is>
          <t>P</t>
        </is>
      </c>
      <c r="L83" s="71" t="inlineStr">
        <is>
          <t>P</t>
        </is>
      </c>
      <c r="M83" s="71" t="inlineStr">
        <is>
          <t>P</t>
        </is>
      </c>
      <c r="N83" s="71" t="inlineStr">
        <is>
          <t>P</t>
        </is>
      </c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1" t="n"/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  <c r="BJ83" s="71" t="n"/>
    </row>
    <row r="84" ht="12.75" customHeight="1" s="55">
      <c r="B84" s="77" t="n"/>
      <c r="C84" s="77" t="n"/>
    </row>
    <row r="85" ht="12.75" customHeight="1" s="55">
      <c r="B85" s="77" t="n"/>
      <c r="C85" s="77" t="n"/>
    </row>
    <row r="86" ht="12.75" customHeight="1" s="55">
      <c r="B86" s="77" t="n"/>
      <c r="C86" s="77" t="n"/>
    </row>
    <row r="87" ht="12.75" customHeight="1" s="55">
      <c r="B87" s="77" t="n"/>
      <c r="C87" s="77" t="n"/>
    </row>
    <row r="88" ht="12.75" customHeight="1" s="55">
      <c r="B88" s="77" t="n"/>
      <c r="C88" s="77" t="n"/>
    </row>
    <row r="89" ht="12.75" customHeight="1" s="55">
      <c r="B89" s="77" t="n"/>
      <c r="C89" s="77" t="n"/>
    </row>
    <row r="90" ht="12.75" customHeight="1" s="55">
      <c r="B90" s="77" t="n"/>
      <c r="C90" s="77" t="n"/>
    </row>
    <row r="91" ht="39" customHeight="1" s="55">
      <c r="B91" s="77" t="n"/>
      <c r="C91" s="77" t="n"/>
      <c r="E91" s="71" t="inlineStr">
        <is>
          <t>Total No. of Students</t>
        </is>
      </c>
      <c r="F91" s="71" t="n">
        <v>71</v>
      </c>
      <c r="G91" s="71" t="n"/>
      <c r="H91" s="71" t="n"/>
      <c r="I91" s="71" t="n"/>
      <c r="J91" s="71" t="n"/>
      <c r="K91" s="71" t="n"/>
      <c r="L91" s="71" t="n"/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</row>
    <row r="92" ht="39" customHeight="1" s="55">
      <c r="B92" s="77" t="n"/>
      <c r="C92" s="77" t="n"/>
      <c r="E92" s="71" t="inlineStr">
        <is>
          <t>Total No. of Presentees</t>
        </is>
      </c>
      <c r="F92" s="71">
        <f>COUNTIF(F13:F82,"P")</f>
        <v/>
      </c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</row>
    <row r="93" ht="39" customHeight="1" s="55">
      <c r="B93" s="77" t="n"/>
      <c r="C93" s="77" t="n"/>
      <c r="E93" s="71" t="inlineStr">
        <is>
          <t>Total No. of Absentees</t>
        </is>
      </c>
      <c r="F93" s="71">
        <f>COUNTIF(F13:F82,"A")</f>
        <v/>
      </c>
      <c r="G93" s="71" t="n"/>
      <c r="H93" s="71" t="n"/>
      <c r="I93" s="71" t="n"/>
      <c r="J93" s="71" t="n"/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</row>
    <row r="94" ht="39" customHeight="1" s="55">
      <c r="B94" s="77" t="n"/>
      <c r="C94" s="77" t="n"/>
      <c r="E94" s="71" t="inlineStr">
        <is>
          <t>Presentees Percentage</t>
        </is>
      </c>
      <c r="F94" s="71">
        <f>SUM((F92/F91)*100)</f>
        <v/>
      </c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1" t="n"/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  <c r="BJ94" s="71" t="n"/>
    </row>
    <row r="95" ht="39" customHeight="1" s="55">
      <c r="B95" s="77" t="n"/>
      <c r="C95" s="77" t="n"/>
      <c r="E95" s="71" t="inlineStr">
        <is>
          <t>Absentees Percentage</t>
        </is>
      </c>
      <c r="F95" s="71">
        <f>SUM((F93/F91)*100)</f>
        <v/>
      </c>
      <c r="G95" s="71" t="n"/>
      <c r="H95" s="71" t="n"/>
      <c r="I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  <c r="BJ95" s="71" t="n"/>
    </row>
    <row r="96" ht="12.75" customHeight="1" s="55">
      <c r="B96" s="77" t="n"/>
      <c r="C96" s="77" t="n"/>
    </row>
    <row r="97" ht="12.75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2">
    <mergeCell ref="A7:I7"/>
    <mergeCell ref="F10:N10"/>
    <mergeCell ref="A8:D8"/>
    <mergeCell ref="A2:AX2"/>
    <mergeCell ref="B11:B12"/>
    <mergeCell ref="A1:AX1"/>
    <mergeCell ref="C11:C12"/>
    <mergeCell ref="D11:D12"/>
    <mergeCell ref="F11:BH11"/>
    <mergeCell ref="E11:E12"/>
    <mergeCell ref="A11:A12"/>
    <mergeCell ref="A3:AX3"/>
  </mergeCells>
  <conditionalFormatting sqref="B13:B83">
    <cfRule type="expression" rank="0" priority="2" equalAverage="0" aboveAverage="0" dxfId="0" text="" percent="0" bottom="0">
      <formula>AND(COUNTIF($B$10:$B$22,B13)+COUNTIF($B$24:$B$62,B13)&gt;1,NOT(ISBLANK(B13)))</formula>
    </cfRule>
  </conditionalFormatting>
  <hyperlinks>
    <hyperlink xmlns:r="http://schemas.openxmlformats.org/officeDocument/2006/relationships" ref="AU7" display="ug2024-it@ssn.edu.in 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8" customWidth="1" style="54" min="6" max="62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ATTENDANCE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  <c r="AV5" s="60" t="inlineStr">
        <is>
          <t>Batch : 2024-28</t>
        </is>
      </c>
    </row>
    <row r="6" ht="10.5" customHeight="1" s="55">
      <c r="A6" s="58" t="n"/>
      <c r="B6" s="59" t="n"/>
      <c r="C6" s="59" t="n"/>
    </row>
    <row r="7" ht="28.5" customHeight="1" s="55">
      <c r="A7" s="61" t="inlineStr">
        <is>
          <t>Sub Code &amp; Sub Name : UIT3515 - Dev Ops</t>
        </is>
      </c>
      <c r="AU7" s="62" t="inlineStr">
        <is>
          <t xml:space="preserve">ug2024-it@ssn.edu.in </t>
        </is>
      </c>
    </row>
    <row r="8" ht="30.75" customHeight="1" s="55">
      <c r="A8" s="61" t="inlineStr">
        <is>
          <t>Staff Name : External Expert</t>
        </is>
      </c>
      <c r="E8" s="64" t="n"/>
    </row>
    <row r="9" ht="30.75" customHeight="1" s="55">
      <c r="A9" s="61" t="n"/>
      <c r="B9" s="61" t="n"/>
      <c r="C9" s="61" t="n"/>
      <c r="D9" s="61" t="n"/>
      <c r="E9" s="64" t="n"/>
    </row>
    <row r="10" ht="30.75" customHeight="1" s="55">
      <c r="A10" s="61" t="n"/>
      <c r="B10" s="61" t="n"/>
      <c r="C10" s="61" t="n"/>
      <c r="D10" s="61" t="n"/>
      <c r="E10" s="64" t="n"/>
      <c r="F10" s="65" t="inlineStr">
        <is>
          <t>Mark  "P" for presentees , "A" for absentees</t>
        </is>
      </c>
      <c r="G10" s="66" t="n"/>
      <c r="H10" s="66" t="n"/>
      <c r="I10" s="66" t="n"/>
      <c r="J10" s="66" t="n"/>
      <c r="K10" s="66" t="n"/>
      <c r="L10" s="66" t="n"/>
      <c r="M10" s="66" t="n"/>
      <c r="N10" s="66" t="n"/>
    </row>
    <row r="11" ht="31.5" customHeight="1" s="55">
      <c r="A11" s="67" t="inlineStr">
        <is>
          <t>S.No</t>
        </is>
      </c>
      <c r="B11" s="67" t="inlineStr">
        <is>
          <t>Digital Id</t>
        </is>
      </c>
      <c r="C11" s="67" t="inlineStr">
        <is>
          <t>Register Number</t>
        </is>
      </c>
      <c r="D11" s="67" t="inlineStr">
        <is>
          <t>Name as per 12th Mark Sheet</t>
        </is>
      </c>
      <c r="E11" s="67" t="inlineStr">
        <is>
          <t>SSN Email ID</t>
        </is>
      </c>
      <c r="F11" s="68" t="inlineStr">
        <is>
          <t>Date</t>
        </is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  <c r="AX11" s="69" t="n"/>
      <c r="AY11" s="69" t="n"/>
      <c r="AZ11" s="69" t="n"/>
      <c r="BA11" s="69" t="n"/>
      <c r="BB11" s="69" t="n"/>
      <c r="BC11" s="69" t="n"/>
      <c r="BD11" s="69" t="n"/>
      <c r="BE11" s="69" t="n"/>
      <c r="BF11" s="69" t="n"/>
      <c r="BG11" s="69" t="n"/>
      <c r="BH11" s="70" t="n"/>
      <c r="BI11" s="71" t="n"/>
      <c r="BJ11" s="71" t="n"/>
    </row>
    <row r="12" ht="21" customHeight="1" s="55">
      <c r="A12" s="72" t="n"/>
      <c r="B12" s="72" t="n"/>
      <c r="C12" s="72" t="n"/>
      <c r="D12" s="72" t="n"/>
      <c r="E12" s="72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>
        <f>COUNTA(F12:BH12)</f>
        <v/>
      </c>
      <c r="BJ12" s="71" t="n"/>
    </row>
    <row r="13" ht="21" customHeight="1" s="55">
      <c r="A13" s="73" t="n">
        <v>1</v>
      </c>
      <c r="B13" s="74" t="n">
        <v>2410606</v>
      </c>
      <c r="C13" s="75" t="n">
        <v>3122245002067</v>
      </c>
      <c r="D13" s="76" t="inlineStr">
        <is>
          <t>Pragalya T</t>
        </is>
      </c>
      <c r="E13" s="76" t="inlineStr">
        <is>
          <t>pragalya2410606@ssn.edu.in</t>
        </is>
      </c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1" t="n"/>
      <c r="BF13" s="71" t="n"/>
      <c r="BG13" s="71" t="n"/>
      <c r="BH13" s="71" t="n"/>
      <c r="BI13" s="71">
        <f>COUNTIF(F13:BH13,"P")</f>
        <v/>
      </c>
      <c r="BJ13" s="71">
        <f>SUM((BI13/BI12)*100)</f>
        <v/>
      </c>
    </row>
    <row r="14" ht="21" customHeight="1" s="55">
      <c r="A14" s="73" t="n">
        <v>2</v>
      </c>
      <c r="B14" s="74" t="n">
        <v>2410674</v>
      </c>
      <c r="C14" s="75" t="n">
        <v>3122245002068</v>
      </c>
      <c r="D14" s="76" t="inlineStr">
        <is>
          <t>Praghathish G T</t>
        </is>
      </c>
      <c r="E14" s="76" t="inlineStr">
        <is>
          <t>praghathish2410674@ssn.edu.in</t>
        </is>
      </c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1" t="n"/>
      <c r="BF14" s="71" t="n"/>
      <c r="BG14" s="71" t="n"/>
      <c r="BH14" s="71" t="n"/>
      <c r="BI14" s="71">
        <f>COUNTIF(F14:BH14,"P")</f>
        <v/>
      </c>
      <c r="BJ14" s="71">
        <f>SUM((BI14/BI12)*100)</f>
        <v/>
      </c>
    </row>
    <row r="15" ht="21" customHeight="1" s="55">
      <c r="A15" s="73" t="n">
        <v>3</v>
      </c>
      <c r="B15" s="74" t="n">
        <v>2410080</v>
      </c>
      <c r="C15" s="75" t="n">
        <v>3122245002069</v>
      </c>
      <c r="D15" s="76" t="inlineStr">
        <is>
          <t>Pranav C K</t>
        </is>
      </c>
      <c r="E15" s="76" t="inlineStr">
        <is>
          <t>pranav2410080@ssn.edu.in</t>
        </is>
      </c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1" t="n"/>
      <c r="BF15" s="71" t="n"/>
      <c r="BG15" s="71" t="n"/>
      <c r="BH15" s="71" t="n"/>
      <c r="BI15" s="71">
        <f>COUNTIF(F15:BH15,"P")</f>
        <v/>
      </c>
      <c r="BJ15" s="71">
        <f>SUM((BI15/BI12)*100)</f>
        <v/>
      </c>
    </row>
    <row r="16" ht="21" customHeight="1" s="55">
      <c r="A16" s="73" t="n">
        <v>4</v>
      </c>
      <c r="B16" s="74" t="n">
        <v>2410328</v>
      </c>
      <c r="C16" s="75" t="n">
        <v>3122245002070</v>
      </c>
      <c r="D16" s="76" t="inlineStr">
        <is>
          <t>Pranav Vasudevan</t>
        </is>
      </c>
      <c r="E16" s="76" t="inlineStr">
        <is>
          <t>pranav2410328@ssn.edu.in</t>
        </is>
      </c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1" t="n"/>
      <c r="BF16" s="71" t="n"/>
      <c r="BG16" s="71" t="n"/>
      <c r="BH16" s="71" t="n"/>
      <c r="BI16" s="71">
        <f>COUNTIF(F16:BH16,"P")</f>
        <v/>
      </c>
      <c r="BJ16" s="71">
        <f>SUM((BI16/BI12)*100)</f>
        <v/>
      </c>
    </row>
    <row r="17" ht="21" customHeight="1" s="55">
      <c r="A17" s="73" t="n">
        <v>5</v>
      </c>
      <c r="B17" s="74" t="n">
        <v>2410738</v>
      </c>
      <c r="C17" s="75" t="n">
        <v>3122245002071</v>
      </c>
      <c r="D17" s="76" t="inlineStr">
        <is>
          <t>Radhakrishnan M</t>
        </is>
      </c>
      <c r="E17" s="76" t="inlineStr">
        <is>
          <t>radhakrishnan2410738@ssn.edu.in</t>
        </is>
      </c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1" t="n"/>
      <c r="BF17" s="71" t="n"/>
      <c r="BG17" s="71" t="n"/>
      <c r="BH17" s="71" t="n"/>
      <c r="BI17" s="71">
        <f>COUNTIF(F17:BH17,"P")</f>
        <v/>
      </c>
      <c r="BJ17" s="71">
        <f>SUM((BI17/BI12)*100)</f>
        <v/>
      </c>
    </row>
    <row r="18" ht="21" customHeight="1" s="55">
      <c r="A18" s="73" t="n">
        <v>6</v>
      </c>
      <c r="B18" s="74" t="n">
        <v>2410786</v>
      </c>
      <c r="C18" s="75" t="n">
        <v>3122245002072</v>
      </c>
      <c r="D18" s="76" t="inlineStr">
        <is>
          <t>Raghul Krishna V</t>
        </is>
      </c>
      <c r="E18" s="76" t="inlineStr">
        <is>
          <t>raghulkrishna2410786@ssn.edu.in</t>
        </is>
      </c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1" t="n"/>
      <c r="BF18" s="71" t="n"/>
      <c r="BG18" s="71" t="n"/>
      <c r="BH18" s="71" t="n"/>
      <c r="BI18" s="71">
        <f>COUNTIF(F18:BH18,"P")</f>
        <v/>
      </c>
      <c r="BJ18" s="71">
        <f>SUM((BI18/BI12)*100)</f>
        <v/>
      </c>
    </row>
    <row r="19" ht="21" customHeight="1" s="55">
      <c r="A19" s="73" t="n">
        <v>7</v>
      </c>
      <c r="B19" s="74" t="n">
        <v>2410441</v>
      </c>
      <c r="C19" s="75" t="n">
        <v>3122245002073</v>
      </c>
      <c r="D19" s="76" t="inlineStr">
        <is>
          <t>Ragul A</t>
        </is>
      </c>
      <c r="E19" s="76" t="inlineStr">
        <is>
          <t>ragul2410441@ssn.edu.in</t>
        </is>
      </c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1" t="n"/>
      <c r="BF19" s="71" t="n"/>
      <c r="BG19" s="71" t="n"/>
      <c r="BH19" s="71" t="n"/>
      <c r="BI19" s="71">
        <f>COUNTIF(F19:BH19,"P")</f>
        <v/>
      </c>
      <c r="BJ19" s="71">
        <f>SUM((BI19/BI12)*100)</f>
        <v/>
      </c>
    </row>
    <row r="20" ht="21" customHeight="1" s="55">
      <c r="A20" s="73" t="n">
        <v>8</v>
      </c>
      <c r="B20" s="74" t="n">
        <v>2410834</v>
      </c>
      <c r="C20" s="75" t="n">
        <v>3122245002074</v>
      </c>
      <c r="D20" s="76" t="inlineStr">
        <is>
          <t>Ragunandhan M</t>
        </is>
      </c>
      <c r="E20" s="76" t="inlineStr">
        <is>
          <t>ragunandhan2410834@ssn.edu.in</t>
        </is>
      </c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>
        <f>COUNTIF(F20:BH20,"P")</f>
        <v/>
      </c>
      <c r="BJ20" s="71">
        <f>SUM((BI20/BI12)*100)</f>
        <v/>
      </c>
    </row>
    <row r="21" ht="21" customHeight="1" s="55">
      <c r="A21" s="73" t="n">
        <v>9</v>
      </c>
      <c r="B21" s="74" t="n">
        <v>2410098</v>
      </c>
      <c r="C21" s="75" t="n">
        <v>3122245002075</v>
      </c>
      <c r="D21" s="76" t="inlineStr">
        <is>
          <t>Rajkumar M</t>
        </is>
      </c>
      <c r="E21" s="76" t="inlineStr">
        <is>
          <t>rajkumar2410098@ssn.edu.in</t>
        </is>
      </c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>
        <f>COUNTIF(F21:BH21,"P")</f>
        <v/>
      </c>
      <c r="BJ21" s="71">
        <f>SUM((BI21/BI12)*100)</f>
        <v/>
      </c>
    </row>
    <row r="22" ht="21" customHeight="1" s="55">
      <c r="A22" s="73" t="n">
        <v>10</v>
      </c>
      <c r="B22" s="74" t="n">
        <v>2410632</v>
      </c>
      <c r="C22" s="75" t="n">
        <v>3122245002076</v>
      </c>
      <c r="D22" s="76" t="inlineStr">
        <is>
          <t>Ramakrishnan M R</t>
        </is>
      </c>
      <c r="E22" s="76" t="inlineStr">
        <is>
          <t>ramakrishnan2410632@ssn.edu.in</t>
        </is>
      </c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1" t="n"/>
      <c r="BF22" s="71" t="n"/>
      <c r="BG22" s="71" t="n"/>
      <c r="BH22" s="71" t="n"/>
      <c r="BI22" s="71">
        <f>COUNTIF(F22:BH22,"P")</f>
        <v/>
      </c>
      <c r="BJ22" s="71">
        <f>SUM((BI22/BI12)*100)</f>
        <v/>
      </c>
    </row>
    <row r="23" ht="21" customHeight="1" s="55">
      <c r="A23" s="73" t="n">
        <v>11</v>
      </c>
      <c r="B23" s="74" t="n">
        <v>2410313</v>
      </c>
      <c r="C23" s="75" t="n">
        <v>3122245002077</v>
      </c>
      <c r="D23" s="76" t="inlineStr">
        <is>
          <t>Raveena V K</t>
        </is>
      </c>
      <c r="E23" s="76" t="inlineStr">
        <is>
          <t>raveena2410313@ssn.edu.in</t>
        </is>
      </c>
      <c r="F23" s="71" t="n"/>
      <c r="G23" s="71" t="n"/>
      <c r="H23" s="71" t="n"/>
      <c r="I23" s="71" t="n"/>
      <c r="J23" s="71" t="n"/>
      <c r="K23" s="71" t="n"/>
      <c r="L23" s="71" t="n"/>
      <c r="M23" s="7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71" t="n"/>
      <c r="AW23" s="71" t="n"/>
      <c r="AX23" s="71" t="n"/>
      <c r="AY23" s="71" t="n"/>
      <c r="AZ23" s="71" t="n"/>
      <c r="BA23" s="71" t="n"/>
      <c r="BB23" s="71" t="n"/>
      <c r="BC23" s="71" t="n"/>
      <c r="BD23" s="71" t="n"/>
      <c r="BE23" s="71" t="n"/>
      <c r="BF23" s="71" t="n"/>
      <c r="BG23" s="71" t="n"/>
      <c r="BH23" s="71" t="n"/>
      <c r="BI23" s="71">
        <f>COUNTIF(F23:BH23,"P")</f>
        <v/>
      </c>
      <c r="BJ23" s="71">
        <f>SUM((BI23/BI12)*100)</f>
        <v/>
      </c>
    </row>
    <row r="24" ht="21" customHeight="1" s="55">
      <c r="A24" s="73" t="n">
        <v>12</v>
      </c>
      <c r="B24" s="74" t="n">
        <v>2410581</v>
      </c>
      <c r="C24" s="75" t="n">
        <v>3122245002078</v>
      </c>
      <c r="D24" s="76" t="inlineStr">
        <is>
          <t>Ridhi R</t>
        </is>
      </c>
      <c r="E24" s="76" t="inlineStr">
        <is>
          <t>ridhi2410581@ssn.edu.in</t>
        </is>
      </c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71" t="n"/>
      <c r="AW24" s="71" t="n"/>
      <c r="AX24" s="71" t="n"/>
      <c r="AY24" s="71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>
        <f>COUNTIF(F24:BH24,"P")</f>
        <v/>
      </c>
      <c r="BJ24" s="71">
        <f>SUM((BI24/BI12)*100)</f>
        <v/>
      </c>
    </row>
    <row r="25" ht="21" customHeight="1" s="55">
      <c r="A25" s="73" t="n">
        <v>13</v>
      </c>
      <c r="B25" s="74" t="n">
        <v>2410343</v>
      </c>
      <c r="C25" s="75" t="n">
        <v>3122245002079</v>
      </c>
      <c r="D25" s="76" t="inlineStr">
        <is>
          <t>Rishikumar Pitchiah Kalyanakumar</t>
        </is>
      </c>
      <c r="E25" s="76" t="inlineStr">
        <is>
          <t>rishikumar2410343@ssn.edu.in</t>
        </is>
      </c>
      <c r="F25" s="71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71" t="n"/>
      <c r="AW25" s="71" t="n"/>
      <c r="AX25" s="71" t="n"/>
      <c r="AY25" s="71" t="n"/>
      <c r="AZ25" s="71" t="n"/>
      <c r="BA25" s="71" t="n"/>
      <c r="BB25" s="71" t="n"/>
      <c r="BC25" s="71" t="n"/>
      <c r="BD25" s="71" t="n"/>
      <c r="BE25" s="71" t="n"/>
      <c r="BF25" s="71" t="n"/>
      <c r="BG25" s="71" t="n"/>
      <c r="BH25" s="71" t="n"/>
      <c r="BI25" s="71">
        <f>COUNTIF(F25:BH25,"P")</f>
        <v/>
      </c>
      <c r="BJ25" s="71">
        <f>SUM((BI25/BI12)*100)</f>
        <v/>
      </c>
    </row>
    <row r="26" ht="21" customHeight="1" s="55">
      <c r="A26" s="73" t="n">
        <v>14</v>
      </c>
      <c r="B26" s="74" t="n">
        <v>2410308</v>
      </c>
      <c r="C26" s="75" t="n">
        <v>3122245002080</v>
      </c>
      <c r="D26" s="76" t="inlineStr">
        <is>
          <t>Rithin Asvathama V</t>
        </is>
      </c>
      <c r="E26" s="76" t="inlineStr">
        <is>
          <t>rithinasvathama2410308@ssn.edu.in</t>
        </is>
      </c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>
        <f>COUNTIF(F26:BH26,"P")</f>
        <v/>
      </c>
      <c r="BJ26" s="71">
        <f>SUM((BI26/BI12)*100)</f>
        <v/>
      </c>
    </row>
    <row r="27" ht="21" customHeight="1" s="55">
      <c r="A27" s="73" t="n">
        <v>15</v>
      </c>
      <c r="B27" s="74" t="n">
        <v>2410445</v>
      </c>
      <c r="C27" s="75" t="n">
        <v>3122245002081</v>
      </c>
      <c r="D27" s="76" t="inlineStr">
        <is>
          <t>Ritvik Kumar T</t>
        </is>
      </c>
      <c r="E27" s="76" t="inlineStr">
        <is>
          <t>ritvikkumar2410445@ssn.edu.in</t>
        </is>
      </c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>
        <f>COUNTIF(F27:BH27,"P")</f>
        <v/>
      </c>
      <c r="BJ27" s="71">
        <f>SUM((BI27/BI12)*100)</f>
        <v/>
      </c>
    </row>
    <row r="28" ht="21" customHeight="1" s="55">
      <c r="A28" s="73" t="n">
        <v>16</v>
      </c>
      <c r="B28" s="74" t="n">
        <v>2410230</v>
      </c>
      <c r="C28" s="75" t="n">
        <v>3122245002082</v>
      </c>
      <c r="D28" s="76" t="inlineStr">
        <is>
          <t>Roja Sri R</t>
        </is>
      </c>
      <c r="E28" s="76" t="inlineStr">
        <is>
          <t>rojasri2410230@ssn.edu.in</t>
        </is>
      </c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>
        <f>COUNTIF(F28:BH28,"P")</f>
        <v/>
      </c>
      <c r="BJ28" s="71">
        <f>SUM((BI28/BI12)*100)</f>
        <v/>
      </c>
    </row>
    <row r="29" ht="21" customHeight="1" s="55">
      <c r="A29" s="73" t="n">
        <v>17</v>
      </c>
      <c r="B29" s="74" t="n">
        <v>2410331</v>
      </c>
      <c r="C29" s="75" t="n">
        <v>3122245002083</v>
      </c>
      <c r="D29" s="76" t="inlineStr">
        <is>
          <t>Rovena Madharasi I</t>
        </is>
      </c>
      <c r="E29" s="76" t="inlineStr">
        <is>
          <t>rovenamadharasi2410331@ssn.edu.in</t>
        </is>
      </c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>
        <f>COUNTIF(F29:BH29,"P")</f>
        <v/>
      </c>
      <c r="BJ29" s="71">
        <f>SUM((BI29/BI12)*100)</f>
        <v/>
      </c>
    </row>
    <row r="30" ht="21" customHeight="1" s="55">
      <c r="A30" s="73" t="n">
        <v>18</v>
      </c>
      <c r="B30" s="74" t="n">
        <v>2410229</v>
      </c>
      <c r="C30" s="75" t="n">
        <v>3122245002084</v>
      </c>
      <c r="D30" s="76" t="inlineStr">
        <is>
          <t>Sabarish S B</t>
        </is>
      </c>
      <c r="E30" s="76" t="inlineStr">
        <is>
          <t>sabarish2410229@ssn.edu.in</t>
        </is>
      </c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>
        <f>COUNTIF(F30:BH30,"P")</f>
        <v/>
      </c>
      <c r="BJ30" s="71">
        <f>SUM((BI30/BI12)*100)</f>
        <v/>
      </c>
    </row>
    <row r="31" ht="21" customHeight="1" s="55">
      <c r="A31" s="73" t="n">
        <v>19</v>
      </c>
      <c r="B31" s="74" t="n">
        <v>2410984</v>
      </c>
      <c r="C31" s="75" t="n">
        <v>3122245002085</v>
      </c>
      <c r="D31" s="76" t="inlineStr">
        <is>
          <t>Sahana A</t>
        </is>
      </c>
      <c r="E31" s="76" t="inlineStr">
        <is>
          <t>sahana2410984@ssn.edu.in</t>
        </is>
      </c>
      <c r="F31" s="71" t="n"/>
      <c r="G31" s="71" t="n"/>
      <c r="H31" s="71" t="n"/>
      <c r="I31" s="71" t="n"/>
      <c r="J31" s="71" t="n"/>
      <c r="K31" s="71" t="n"/>
      <c r="L31" s="71" t="n"/>
      <c r="M31" s="7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>
        <f>COUNTIF(F31:BH31,"P")</f>
        <v/>
      </c>
      <c r="BJ31" s="71">
        <f>SUM((BI31/BI12)*100)</f>
        <v/>
      </c>
    </row>
    <row r="32" ht="21" customHeight="1" s="55">
      <c r="A32" s="73" t="n">
        <v>20</v>
      </c>
      <c r="B32" s="74" t="n">
        <v>2410091</v>
      </c>
      <c r="C32" s="75" t="n">
        <v>3122245002086</v>
      </c>
      <c r="D32" s="76" t="inlineStr">
        <is>
          <t>Sandhya B</t>
        </is>
      </c>
      <c r="E32" s="76" t="inlineStr">
        <is>
          <t>sandhya2410091@ssn.edu.in</t>
        </is>
      </c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>
        <f>COUNTIF(F32:BH32,"P")</f>
        <v/>
      </c>
      <c r="BJ32" s="71">
        <f>SUM((BI32/BI12)*100)</f>
        <v/>
      </c>
    </row>
    <row r="33" ht="21" customHeight="1" s="55">
      <c r="A33" s="73" t="n">
        <v>21</v>
      </c>
      <c r="B33" s="74" t="n">
        <v>2410706</v>
      </c>
      <c r="C33" s="75" t="n">
        <v>3122245002087</v>
      </c>
      <c r="D33" s="76" t="inlineStr">
        <is>
          <t>Sandhya S</t>
        </is>
      </c>
      <c r="E33" s="76" t="inlineStr">
        <is>
          <t>sandhya2410706@ssn.edu.in</t>
        </is>
      </c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>
        <f>COUNTIF(F33:BH33,"P")</f>
        <v/>
      </c>
      <c r="BJ33" s="71">
        <f>SUM((BI33/BI12)*100)</f>
        <v/>
      </c>
    </row>
    <row r="34" ht="21" customHeight="1" s="55">
      <c r="A34" s="73" t="n">
        <v>22</v>
      </c>
      <c r="B34" s="74" t="n">
        <v>2410778</v>
      </c>
      <c r="C34" s="75" t="n">
        <v>3122245002088</v>
      </c>
      <c r="D34" s="76" t="inlineStr">
        <is>
          <t>Sangaraju Sathwik</t>
        </is>
      </c>
      <c r="E34" s="76" t="inlineStr">
        <is>
          <t>sangaraju2410778@ssn.edu.in</t>
        </is>
      </c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>
        <f>COUNTIF(F34:BH34,"P")</f>
        <v/>
      </c>
      <c r="BJ34" s="71">
        <f>SUM((BI34/BI12)*100)</f>
        <v/>
      </c>
    </row>
    <row r="35" ht="21" customHeight="1" s="55">
      <c r="A35" s="73" t="n">
        <v>23</v>
      </c>
      <c r="B35" s="74" t="n">
        <v>2410162</v>
      </c>
      <c r="C35" s="75" t="n">
        <v>3122245002089</v>
      </c>
      <c r="D35" s="76" t="inlineStr">
        <is>
          <t>Sanjana Shankar</t>
        </is>
      </c>
      <c r="E35" s="76" t="inlineStr">
        <is>
          <t>sanjana2410162@ssn.edu.in</t>
        </is>
      </c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>
        <f>COUNTIF(F35:BH35,"P")</f>
        <v/>
      </c>
      <c r="BJ35" s="71">
        <f>SUM((BI35/BI12)*100)</f>
        <v/>
      </c>
    </row>
    <row r="36" ht="21" customHeight="1" s="55">
      <c r="A36" s="73" t="n">
        <v>24</v>
      </c>
      <c r="B36" s="74" t="n">
        <v>2410514</v>
      </c>
      <c r="C36" s="75" t="n">
        <v>3122245002090</v>
      </c>
      <c r="D36" s="76" t="inlineStr">
        <is>
          <t>Sanjay J</t>
        </is>
      </c>
      <c r="E36" s="76" t="inlineStr">
        <is>
          <t>sanjay2410514@ssn.edu.in</t>
        </is>
      </c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>
        <f>COUNTIF(F36:BH36,"P")</f>
        <v/>
      </c>
      <c r="BJ36" s="71">
        <f>SUM((BI36/BI12)*100)</f>
        <v/>
      </c>
    </row>
    <row r="37" ht="21" customHeight="1" s="55">
      <c r="A37" s="73" t="n">
        <v>25</v>
      </c>
      <c r="B37" s="74" t="n">
        <v>2410068</v>
      </c>
      <c r="C37" s="75" t="n">
        <v>3122245002091</v>
      </c>
      <c r="D37" s="76" t="inlineStr">
        <is>
          <t>Sanjay Raam S</t>
        </is>
      </c>
      <c r="E37" s="76" t="inlineStr">
        <is>
          <t>sanjayraam2410068@ssn.edu.in</t>
        </is>
      </c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>
        <f>COUNTIF(F37:BH37,"P")</f>
        <v/>
      </c>
      <c r="BJ37" s="71">
        <f>SUM((BI37/BI12)*100)</f>
        <v/>
      </c>
    </row>
    <row r="38" ht="21" customHeight="1" s="55">
      <c r="A38" s="73" t="n">
        <v>26</v>
      </c>
      <c r="B38" s="74" t="n">
        <v>2410185</v>
      </c>
      <c r="C38" s="75" t="n">
        <v>3122245002092</v>
      </c>
      <c r="D38" s="76" t="inlineStr">
        <is>
          <t>Sanjay T</t>
        </is>
      </c>
      <c r="E38" s="76" t="inlineStr">
        <is>
          <t>sanjay2410185@ssn.edu.in</t>
        </is>
      </c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>
        <f>COUNTIF(F38:BH38,"P")</f>
        <v/>
      </c>
      <c r="BJ38" s="71">
        <f>SUM((BI38/BI12)*100)</f>
        <v/>
      </c>
    </row>
    <row r="39" ht="21" customHeight="1" s="55">
      <c r="A39" s="73" t="n">
        <v>27</v>
      </c>
      <c r="B39" s="74" t="n">
        <v>2410988</v>
      </c>
      <c r="C39" s="75" t="n">
        <v>3122245002093</v>
      </c>
      <c r="D39" s="76" t="inlineStr">
        <is>
          <t>Santhosh Aaron C</t>
        </is>
      </c>
      <c r="E39" s="76" t="inlineStr">
        <is>
          <t>santhosh2410988@ssn.edu.in</t>
        </is>
      </c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>
        <f>COUNTIF(F39:BH39,"P")</f>
        <v/>
      </c>
      <c r="BJ39" s="71">
        <f>SUM((BI39/BI12)*100)</f>
        <v/>
      </c>
    </row>
    <row r="40" ht="21" customHeight="1" s="55">
      <c r="A40" s="73" t="n">
        <v>28</v>
      </c>
      <c r="B40" s="74" t="n">
        <v>2410488</v>
      </c>
      <c r="C40" s="75" t="n">
        <v>3122245002094</v>
      </c>
      <c r="D40" s="76" t="inlineStr">
        <is>
          <t>Sarvesh K</t>
        </is>
      </c>
      <c r="E40" s="76" t="inlineStr">
        <is>
          <t>sarvesh2410488@ssn.edu.in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>
        <f>COUNTIF(F40:BH40,"P")</f>
        <v/>
      </c>
      <c r="BJ40" s="71">
        <f>SUM((BI40/BI12)*100)</f>
        <v/>
      </c>
    </row>
    <row r="41" ht="21" customHeight="1" s="55">
      <c r="A41" s="73" t="n">
        <v>29</v>
      </c>
      <c r="B41" s="74" t="n">
        <v>2410076</v>
      </c>
      <c r="C41" s="75" t="n">
        <v>3122245002095</v>
      </c>
      <c r="D41" s="76" t="inlineStr">
        <is>
          <t>Sarvesh S</t>
        </is>
      </c>
      <c r="E41" s="76" t="inlineStr">
        <is>
          <t>sarvesh2410076@ssn.edu.in</t>
        </is>
      </c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>
        <f>COUNTIF(F41:BH41,"P")</f>
        <v/>
      </c>
      <c r="BJ41" s="71">
        <f>SUM((BI41/BI12)*100)</f>
        <v/>
      </c>
    </row>
    <row r="42" ht="21" customHeight="1" s="55">
      <c r="A42" s="73" t="n">
        <v>30</v>
      </c>
      <c r="B42" s="74" t="n">
        <v>2410740</v>
      </c>
      <c r="C42" s="75" t="n">
        <v>3122245002096</v>
      </c>
      <c r="D42" s="76" t="inlineStr">
        <is>
          <t>Sarvesh S</t>
        </is>
      </c>
      <c r="E42" s="76" t="inlineStr">
        <is>
          <t>sarvesh2410740@ssn.edu.in</t>
        </is>
      </c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>
        <f>COUNTIF(F42:BH42,"P")</f>
        <v/>
      </c>
      <c r="BJ42" s="71">
        <f>SUM((BI42/BI12)*100)</f>
        <v/>
      </c>
    </row>
    <row r="43" ht="21" customHeight="1" s="55">
      <c r="A43" s="73" t="n">
        <v>31</v>
      </c>
      <c r="B43" s="74" t="n">
        <v>2410118</v>
      </c>
      <c r="C43" s="75" t="n">
        <v>3122245002097</v>
      </c>
      <c r="D43" s="76" t="inlineStr">
        <is>
          <t>Sathvik Gururaghavendran</t>
        </is>
      </c>
      <c r="E43" s="76" t="inlineStr">
        <is>
          <t>sathvik2410118@ssn.edu.in</t>
        </is>
      </c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>
        <f>COUNTIF(F43:BH43,"P")</f>
        <v/>
      </c>
      <c r="BJ43" s="71">
        <f>SUM((BI43/BI12)*100)</f>
        <v/>
      </c>
    </row>
    <row r="44" ht="21" customHeight="1" s="55">
      <c r="A44" s="73" t="n">
        <v>32</v>
      </c>
      <c r="B44" s="74" t="n">
        <v>2410486</v>
      </c>
      <c r="C44" s="75" t="n">
        <v>3122245002098</v>
      </c>
      <c r="D44" s="76" t="inlineStr">
        <is>
          <t>Shalini G</t>
        </is>
      </c>
      <c r="E44" s="76" t="inlineStr">
        <is>
          <t>shalini2410486@ssn.edu.in</t>
        </is>
      </c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>
        <f>COUNTIF(F44:BH44,"P")</f>
        <v/>
      </c>
      <c r="BJ44" s="71">
        <f>SUM((BI44/BI12)*100)</f>
        <v/>
      </c>
    </row>
    <row r="45" ht="21" customHeight="1" s="55">
      <c r="A45" s="73" t="n">
        <v>33</v>
      </c>
      <c r="B45" s="74" t="n">
        <v>2410569</v>
      </c>
      <c r="C45" s="75" t="n">
        <v>3122245002099</v>
      </c>
      <c r="D45" s="76" t="inlineStr">
        <is>
          <t>Sharaal Jospeen Rani S</t>
        </is>
      </c>
      <c r="E45" s="76" t="inlineStr">
        <is>
          <t>sharaaljospeenrani2410569@ssn.edu.in</t>
        </is>
      </c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>
        <f>COUNTIF(F45:BH45,"P")</f>
        <v/>
      </c>
      <c r="BJ45" s="71">
        <f>SUM((BI45/BI12)*100)</f>
        <v/>
      </c>
    </row>
    <row r="46" ht="21" customHeight="1" s="55">
      <c r="A46" s="73" t="n">
        <v>34</v>
      </c>
      <c r="B46" s="74" t="n">
        <v>2410047</v>
      </c>
      <c r="C46" s="75" t="n">
        <v>3122245002100</v>
      </c>
      <c r="D46" s="76" t="inlineStr">
        <is>
          <t>Shashank V</t>
        </is>
      </c>
      <c r="E46" s="76" t="inlineStr">
        <is>
          <t>shashank2410047@ssn.edu.in</t>
        </is>
      </c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>
        <f>COUNTIF(F46:BH46,"P")</f>
        <v/>
      </c>
      <c r="BJ46" s="71">
        <f>SUM((BI46/BI12)*100)</f>
        <v/>
      </c>
    </row>
    <row r="47" ht="21" customHeight="1" s="55">
      <c r="A47" s="73" t="n">
        <v>35</v>
      </c>
      <c r="B47" s="74" t="n">
        <v>2410184</v>
      </c>
      <c r="C47" s="75" t="n">
        <v>3122245002101</v>
      </c>
      <c r="D47" s="76" t="inlineStr">
        <is>
          <t>Shree M</t>
        </is>
      </c>
      <c r="E47" s="76" t="inlineStr">
        <is>
          <t>shree2410184@ssn.edu.in</t>
        </is>
      </c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>
        <f>COUNTIF(F47:BH47,"P")</f>
        <v/>
      </c>
      <c r="BJ47" s="71">
        <f>SUM((BI47/BI13)*100)</f>
        <v/>
      </c>
    </row>
    <row r="48" ht="21" customHeight="1" s="55">
      <c r="A48" s="73" t="n">
        <v>36</v>
      </c>
      <c r="B48" s="74" t="n">
        <v>2410214</v>
      </c>
      <c r="C48" s="75" t="n">
        <v>3122245002102</v>
      </c>
      <c r="D48" s="76" t="inlineStr">
        <is>
          <t>Shrika Neeharika C</t>
        </is>
      </c>
      <c r="E48" s="76" t="inlineStr">
        <is>
          <t>shrikaneeharika2410214@ssn.edu.in</t>
        </is>
      </c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>
        <f>COUNTIF(F48:BH48,"P")</f>
        <v/>
      </c>
      <c r="BJ48" s="71">
        <f>SUM((BI48/BI12)*100)</f>
        <v/>
      </c>
    </row>
    <row r="49" ht="21" customHeight="1" s="55">
      <c r="A49" s="73" t="n">
        <v>37</v>
      </c>
      <c r="B49" s="74" t="n">
        <v>2410072</v>
      </c>
      <c r="C49" s="75" t="n">
        <v>3122245002103</v>
      </c>
      <c r="D49" s="76" t="inlineStr">
        <is>
          <t>Shrish V V S Sri Kumar Rasamsetty</t>
        </is>
      </c>
      <c r="E49" s="76" t="inlineStr">
        <is>
          <t>shrish2410072@ssn.edu.in</t>
        </is>
      </c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>
        <f>COUNTIF(F49:BH49,"P")</f>
        <v/>
      </c>
      <c r="BJ49" s="71">
        <f>SUM((BI49/BI12)*100)</f>
        <v/>
      </c>
    </row>
    <row r="50" ht="21" customHeight="1" s="55">
      <c r="A50" s="73" t="n">
        <v>38</v>
      </c>
      <c r="B50" s="74" t="n">
        <v>2410533</v>
      </c>
      <c r="C50" s="75" t="n">
        <v>3122245002104</v>
      </c>
      <c r="D50" s="76" t="inlineStr">
        <is>
          <t>Shyam T J</t>
        </is>
      </c>
      <c r="E50" s="76" t="inlineStr">
        <is>
          <t>shyam2410533@ssn.edu.in</t>
        </is>
      </c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>
        <f>COUNTIF(F50:BH50,"P")</f>
        <v/>
      </c>
      <c r="BJ50" s="71">
        <f>SUM((BI50/BI12)*100)</f>
        <v/>
      </c>
    </row>
    <row r="51" ht="21" customHeight="1" s="55">
      <c r="A51" s="73" t="n">
        <v>39</v>
      </c>
      <c r="B51" s="74" t="n">
        <v>2410457</v>
      </c>
      <c r="C51" s="75" t="n">
        <v>3122245002105</v>
      </c>
      <c r="D51" s="76" t="inlineStr">
        <is>
          <t>Siva Hari Raj S T</t>
        </is>
      </c>
      <c r="E51" s="76" t="inlineStr">
        <is>
          <t>sivahariraj2410457@ssn.edu.in</t>
        </is>
      </c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>
        <f>COUNTIF(F51:BH51,"P")</f>
        <v/>
      </c>
      <c r="BJ51" s="71">
        <f>SUM((BI51/BI12)*100)</f>
        <v/>
      </c>
    </row>
    <row r="52" ht="21" customHeight="1" s="55">
      <c r="A52" s="73" t="n">
        <v>40</v>
      </c>
      <c r="B52" s="74" t="n">
        <v>2410759</v>
      </c>
      <c r="C52" s="75" t="n">
        <v>3122245002106</v>
      </c>
      <c r="D52" s="76" t="inlineStr">
        <is>
          <t>Sivaprasanth K</t>
        </is>
      </c>
      <c r="E52" s="76" t="inlineStr">
        <is>
          <t>sivaprasanth2410759@ssn.edu.in</t>
        </is>
      </c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>
        <f>COUNTIF(F52:BH52,"P")</f>
        <v/>
      </c>
      <c r="BJ52" s="71">
        <f>SUM((BI52/BI12)*100)</f>
        <v/>
      </c>
    </row>
    <row r="53" ht="21" customHeight="1" s="55">
      <c r="A53" s="73" t="n">
        <v>41</v>
      </c>
      <c r="B53" s="74" t="n">
        <v>2410530</v>
      </c>
      <c r="C53" s="75" t="n">
        <v>3122245002107</v>
      </c>
      <c r="D53" s="76" t="inlineStr">
        <is>
          <t>Sreenath G</t>
        </is>
      </c>
      <c r="E53" s="76" t="inlineStr">
        <is>
          <t>sreenath2410530@ssn.edu.in</t>
        </is>
      </c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>
        <f>COUNTIF(F53:BH53,"P")</f>
        <v/>
      </c>
      <c r="BJ53" s="71">
        <f>SUM((BI53/BI12)*100)</f>
        <v/>
      </c>
    </row>
    <row r="54" ht="21" customHeight="1" s="55">
      <c r="A54" s="73" t="n">
        <v>42</v>
      </c>
      <c r="B54" s="74" t="n">
        <v>2410089</v>
      </c>
      <c r="C54" s="75" t="n">
        <v>3122245002108</v>
      </c>
      <c r="D54" s="76" t="inlineStr">
        <is>
          <t>Sri Subhiksha T</t>
        </is>
      </c>
      <c r="E54" s="76" t="inlineStr">
        <is>
          <t>sri2410089@ssn.edu.in</t>
        </is>
      </c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>
        <f>COUNTIF(F54:BH54,"P")</f>
        <v/>
      </c>
      <c r="BJ54" s="71">
        <f>SUM((BI54/BI12)*100)</f>
        <v/>
      </c>
    </row>
    <row r="55" ht="21" customHeight="1" s="55">
      <c r="A55" s="73" t="n">
        <v>43</v>
      </c>
      <c r="B55" s="74" t="n">
        <v>2410307</v>
      </c>
      <c r="C55" s="75" t="n">
        <v>3122245002109</v>
      </c>
      <c r="D55" s="76" t="inlineStr">
        <is>
          <t>Srimathi B</t>
        </is>
      </c>
      <c r="E55" s="76" t="inlineStr">
        <is>
          <t>srimathi2410307@ssn.edu.in</t>
        </is>
      </c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>
        <f>COUNTIF(F55:BH55,"P")</f>
        <v/>
      </c>
      <c r="BJ55" s="71">
        <f>SUM((BI55/BI12)*100)</f>
        <v/>
      </c>
    </row>
    <row r="56" ht="21" customHeight="1" s="55">
      <c r="A56" s="73" t="n">
        <v>44</v>
      </c>
      <c r="B56" s="74" t="n">
        <v>2410315</v>
      </c>
      <c r="C56" s="75" t="n">
        <v>3122245002110</v>
      </c>
      <c r="D56" s="76" t="inlineStr">
        <is>
          <t>Sriram R</t>
        </is>
      </c>
      <c r="E56" s="76" t="inlineStr">
        <is>
          <t>sriram2410315@ssn.edu.in</t>
        </is>
      </c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>
        <f>COUNTIF(F56:BH56,"P")</f>
        <v/>
      </c>
      <c r="BJ56" s="71">
        <f>SUM((BI56/BI12)*100)</f>
        <v/>
      </c>
    </row>
    <row r="57" ht="21" customHeight="1" s="55">
      <c r="A57" s="73" t="n">
        <v>45</v>
      </c>
      <c r="B57" s="74" t="n">
        <v>2410777</v>
      </c>
      <c r="C57" s="75" t="n">
        <v>3122245002111</v>
      </c>
      <c r="D57" s="76" t="inlineStr">
        <is>
          <t>Srivarshan S</t>
        </is>
      </c>
      <c r="E57" s="76" t="inlineStr">
        <is>
          <t>srivarshan2410777@ssn.edu.in</t>
        </is>
      </c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1" t="n"/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>
        <f>COUNTIF(F57:BH57,"P")</f>
        <v/>
      </c>
      <c r="BJ57" s="71">
        <f>SUM((BI57/BI12)*100)</f>
        <v/>
      </c>
    </row>
    <row r="58" ht="21" customHeight="1" s="55">
      <c r="A58" s="73" t="n">
        <v>46</v>
      </c>
      <c r="B58" s="74" t="n">
        <v>2410345</v>
      </c>
      <c r="C58" s="75" t="n">
        <v>3122245002112</v>
      </c>
      <c r="D58" s="76" t="inlineStr">
        <is>
          <t>Srivathsan G</t>
        </is>
      </c>
      <c r="E58" s="76" t="inlineStr">
        <is>
          <t>srivathsan2410345@ssn.edu.in</t>
        </is>
      </c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1" t="n"/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>
        <f>COUNTIF(F58:BH58,"P")</f>
        <v/>
      </c>
      <c r="BJ58" s="71">
        <f>SUM((BI58/BI12)*100)</f>
        <v/>
      </c>
    </row>
    <row r="59" ht="21" customHeight="1" s="55">
      <c r="A59" s="73" t="n">
        <v>47</v>
      </c>
      <c r="B59" s="74" t="n">
        <v>2410867</v>
      </c>
      <c r="C59" s="75" t="n">
        <v>3122245002113</v>
      </c>
      <c r="D59" s="76" t="inlineStr">
        <is>
          <t>Sudharsan S</t>
        </is>
      </c>
      <c r="E59" s="76" t="inlineStr">
        <is>
          <t>sudharsan2410867@ssn.edu.in</t>
        </is>
      </c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1" t="n"/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>
        <f>COUNTIF(F59:BH59,"P")</f>
        <v/>
      </c>
      <c r="BJ59" s="71">
        <f>SUM((BI59/BI12)*100)</f>
        <v/>
      </c>
    </row>
    <row r="60" ht="21" customHeight="1" s="55">
      <c r="A60" s="73" t="n">
        <v>48</v>
      </c>
      <c r="B60" s="74" t="n">
        <v>2410309</v>
      </c>
      <c r="C60" s="75" t="n">
        <v>3122245002114</v>
      </c>
      <c r="D60" s="76" t="inlineStr">
        <is>
          <t>Sunitha Adluru</t>
        </is>
      </c>
      <c r="E60" s="76" t="inlineStr">
        <is>
          <t>sunitha2410309@ssn.edu.in</t>
        </is>
      </c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>
        <f>COUNTIF(F60:BH60,"P")</f>
        <v/>
      </c>
      <c r="BJ60" s="71">
        <f>SUM((BI60/BI12)*100)</f>
        <v/>
      </c>
    </row>
    <row r="61" ht="21" customHeight="1" s="55">
      <c r="A61" s="73" t="n">
        <v>49</v>
      </c>
      <c r="B61" s="74" t="n">
        <v>2410404</v>
      </c>
      <c r="C61" s="75" t="n">
        <v>3122245002115</v>
      </c>
      <c r="D61" s="76" t="inlineStr">
        <is>
          <t>Supritha R</t>
        </is>
      </c>
      <c r="E61" s="76" t="inlineStr">
        <is>
          <t>supritha2410404@ssn.edu.in</t>
        </is>
      </c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1" t="n"/>
      <c r="AE61" s="71" t="n"/>
      <c r="AF61" s="71" t="n"/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1" t="n"/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>
        <f>COUNTIF(F61:BH61,"P")</f>
        <v/>
      </c>
      <c r="BJ61" s="71">
        <f>SUM((BI61/BI12)*100)</f>
        <v/>
      </c>
    </row>
    <row r="62" ht="21" customHeight="1" s="55">
      <c r="A62" s="73" t="n">
        <v>50</v>
      </c>
      <c r="B62" s="74" t="n">
        <v>2410239</v>
      </c>
      <c r="C62" s="75" t="n">
        <v>3122245002116</v>
      </c>
      <c r="D62" s="76" t="inlineStr">
        <is>
          <t>Sweta Sri P</t>
        </is>
      </c>
      <c r="E62" s="76" t="inlineStr">
        <is>
          <t>swetasri2410239@ssn.edu.in</t>
        </is>
      </c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1" t="n"/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>
        <f>COUNTIF(F62:BH62,"P")</f>
        <v/>
      </c>
      <c r="BJ62" s="71">
        <f>SUM((BI62/BI12)*100)</f>
        <v/>
      </c>
    </row>
    <row r="63" ht="21" customHeight="1" s="55">
      <c r="A63" s="73" t="n">
        <v>51</v>
      </c>
      <c r="B63" s="74" t="n">
        <v>2410247</v>
      </c>
      <c r="C63" s="75" t="n">
        <v>3122245002117</v>
      </c>
      <c r="D63" s="76" t="inlineStr">
        <is>
          <t>Tejaswin Bhola</t>
        </is>
      </c>
      <c r="E63" s="76" t="inlineStr">
        <is>
          <t>tejaswin2410247@ssn.edu.in</t>
        </is>
      </c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>
        <f>COUNTIF(F63:BH63,"P")</f>
        <v/>
      </c>
      <c r="BJ63" s="71">
        <f>SUM((BI63/BI12)*100)</f>
        <v/>
      </c>
    </row>
    <row r="64" ht="21" customHeight="1" s="55">
      <c r="A64" s="73" t="n">
        <v>52</v>
      </c>
      <c r="B64" s="74" t="n">
        <v>2410699</v>
      </c>
      <c r="C64" s="75" t="n">
        <v>3122245002118</v>
      </c>
      <c r="D64" s="76" t="inlineStr">
        <is>
          <t>Thamizhini R</t>
        </is>
      </c>
      <c r="E64" s="76" t="inlineStr">
        <is>
          <t>thamizhini2410699@ssn.edu.in</t>
        </is>
      </c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>
        <f>COUNTIF(F64:BH64,"P")</f>
        <v/>
      </c>
      <c r="BJ64" s="71">
        <f>SUM((BI64/BI12)*100)</f>
        <v/>
      </c>
    </row>
    <row r="65" ht="21" customHeight="1" s="55">
      <c r="A65" s="73" t="n">
        <v>53</v>
      </c>
      <c r="B65" s="74" t="n">
        <v>2410405</v>
      </c>
      <c r="C65" s="75" t="n">
        <v>3122245002119</v>
      </c>
      <c r="D65" s="76" t="inlineStr">
        <is>
          <t>Tharun Balaji M</t>
        </is>
      </c>
      <c r="E65" s="76" t="inlineStr">
        <is>
          <t>tharunbalaji2410405@ssn.edu.in</t>
        </is>
      </c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1" t="n"/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>
        <f>COUNTIF(F65:BH65,"P")</f>
        <v/>
      </c>
      <c r="BJ65" s="71">
        <f>SUM((BI65/BI12)*100)</f>
        <v/>
      </c>
    </row>
    <row r="66" ht="21" customHeight="1" s="55">
      <c r="A66" s="73" t="n">
        <v>54</v>
      </c>
      <c r="B66" s="74" t="n">
        <v>2410785</v>
      </c>
      <c r="C66" s="75" t="n">
        <v>3122245002120</v>
      </c>
      <c r="D66" s="76" t="inlineStr">
        <is>
          <t>Thavasi M</t>
        </is>
      </c>
      <c r="E66" s="76" t="inlineStr">
        <is>
          <t>thavasi2410785@ssn.edu.in</t>
        </is>
      </c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1" t="n"/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>
        <f>COUNTIF(F66:BH66,"P")</f>
        <v/>
      </c>
      <c r="BJ66" s="71">
        <f>SUM((BI66/BI12)*100)</f>
        <v/>
      </c>
    </row>
    <row r="67" ht="21" customHeight="1" s="55">
      <c r="A67" s="73" t="n">
        <v>55</v>
      </c>
      <c r="B67" s="74" t="n">
        <v>2410584</v>
      </c>
      <c r="C67" s="75" t="n">
        <v>3122245002121</v>
      </c>
      <c r="D67" s="76" t="inlineStr">
        <is>
          <t>Thirukkumaran V M</t>
        </is>
      </c>
      <c r="E67" s="76" t="inlineStr">
        <is>
          <t>thirukkumaran2410584@ssn.edu.in</t>
        </is>
      </c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1" t="n"/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>
        <f>COUNTIF(F67:BH67,"P")</f>
        <v/>
      </c>
      <c r="BJ67" s="71">
        <f>SUM((BI67/BI12)*100)</f>
        <v/>
      </c>
    </row>
    <row r="68" ht="21" customHeight="1" s="55">
      <c r="A68" s="73" t="n">
        <v>56</v>
      </c>
      <c r="B68" s="74" t="n">
        <v>2410413</v>
      </c>
      <c r="C68" s="75" t="n">
        <v>3122245002122</v>
      </c>
      <c r="D68" s="76" t="inlineStr">
        <is>
          <t>Varsha M</t>
        </is>
      </c>
      <c r="E68" s="76" t="inlineStr">
        <is>
          <t>varsha2410413@ssn.edu.in</t>
        </is>
      </c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1" t="n"/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>
        <f>COUNTIF(F68:BH68,"P")</f>
        <v/>
      </c>
      <c r="BJ68" s="71">
        <f>SUM((BI68/BI12)*100)</f>
        <v/>
      </c>
    </row>
    <row r="69" ht="21" customHeight="1" s="55">
      <c r="A69" s="73" t="n">
        <v>57</v>
      </c>
      <c r="B69" s="74" t="n">
        <v>2410848</v>
      </c>
      <c r="C69" s="75" t="n">
        <v>3122245002123</v>
      </c>
      <c r="D69" s="76" t="inlineStr">
        <is>
          <t>Varsha S</t>
        </is>
      </c>
      <c r="E69" s="76" t="inlineStr">
        <is>
          <t>varsha2410848@ssn.edu.in</t>
        </is>
      </c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1" t="n"/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>
        <f>COUNTIF(F69:BH69,"P")</f>
        <v/>
      </c>
      <c r="BJ69" s="71">
        <f>SUM((BI69/BI12)*100)</f>
        <v/>
      </c>
    </row>
    <row r="70" ht="21" customHeight="1" s="55">
      <c r="A70" s="73" t="n">
        <v>58</v>
      </c>
      <c r="B70" s="74" t="n">
        <v>2410804</v>
      </c>
      <c r="C70" s="75" t="n">
        <v>3122245002124</v>
      </c>
      <c r="D70" s="76" t="inlineStr">
        <is>
          <t>Vijai T</t>
        </is>
      </c>
      <c r="E70" s="76" t="inlineStr">
        <is>
          <t>vijai2410804@ssn.edu.in</t>
        </is>
      </c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  <c r="AJ70" s="71" t="n"/>
      <c r="AK70" s="71" t="n"/>
      <c r="AL70" s="71" t="n"/>
      <c r="AM70" s="71" t="n"/>
      <c r="AN70" s="71" t="n"/>
      <c r="AO70" s="71" t="n"/>
      <c r="AP70" s="71" t="n"/>
      <c r="AQ70" s="71" t="n"/>
      <c r="AR70" s="71" t="n"/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>
        <f>COUNTIF(F70:BH70,"P")</f>
        <v/>
      </c>
      <c r="BJ70" s="71">
        <f>SUM((BI70/BI12)*100)</f>
        <v/>
      </c>
    </row>
    <row r="71" ht="21" customHeight="1" s="55">
      <c r="A71" s="73" t="n">
        <v>59</v>
      </c>
      <c r="B71" s="74" t="n">
        <v>2410586</v>
      </c>
      <c r="C71" s="75" t="n">
        <v>3122245002125</v>
      </c>
      <c r="D71" s="76" t="inlineStr">
        <is>
          <t>Vimal Raj M</t>
        </is>
      </c>
      <c r="E71" s="76" t="inlineStr">
        <is>
          <t>vimalraj2410586@ssn.edu.in</t>
        </is>
      </c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>
        <f>COUNTIF(F71:BH71,"P")</f>
        <v/>
      </c>
      <c r="BJ71" s="71">
        <f>SUM((BI71/BI12)*100)</f>
        <v/>
      </c>
    </row>
    <row r="72" ht="21" customHeight="1" s="55">
      <c r="A72" s="73" t="n">
        <v>60</v>
      </c>
      <c r="B72" s="74" t="n">
        <v>2410781</v>
      </c>
      <c r="C72" s="75" t="n">
        <v>3122245002126</v>
      </c>
      <c r="D72" s="76" t="inlineStr">
        <is>
          <t>Vinobalan K</t>
        </is>
      </c>
      <c r="E72" s="76" t="inlineStr">
        <is>
          <t>vinobalan2410781@ssn.edu.in</t>
        </is>
      </c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>
        <f>COUNTIF(F72:BH72,"P")</f>
        <v/>
      </c>
      <c r="BJ72" s="71">
        <f>SUM((BI72/BI12)*100)</f>
        <v/>
      </c>
    </row>
    <row r="73" ht="21" customHeight="1" s="55">
      <c r="A73" s="73" t="n">
        <v>61</v>
      </c>
      <c r="B73" s="74" t="n">
        <v>2410739</v>
      </c>
      <c r="C73" s="75" t="n">
        <v>3122245002127</v>
      </c>
      <c r="D73" s="76" t="inlineStr">
        <is>
          <t>Vishnu A</t>
        </is>
      </c>
      <c r="E73" s="76" t="inlineStr">
        <is>
          <t>vishnu2410739@ssn.edu.in</t>
        </is>
      </c>
      <c r="F73" s="71" t="n"/>
      <c r="G73" s="71" t="n"/>
      <c r="H73" s="71" t="n"/>
      <c r="I73" s="71" t="n"/>
      <c r="J73" s="71" t="n"/>
      <c r="K73" s="71" t="n"/>
      <c r="L73" s="71" t="n"/>
      <c r="M73" s="7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1" t="n"/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>
        <f>COUNTIF(F73:BH73,"P")</f>
        <v/>
      </c>
      <c r="BJ73" s="71">
        <f>SUM((BI73/BI12)*100)</f>
        <v/>
      </c>
    </row>
    <row r="74" ht="21" customHeight="1" s="55">
      <c r="A74" s="73" t="n">
        <v>62</v>
      </c>
      <c r="B74" s="74" t="n">
        <v>2410079</v>
      </c>
      <c r="C74" s="75" t="n">
        <v>3122245002128</v>
      </c>
      <c r="D74" s="76" t="inlineStr">
        <is>
          <t>Yasasvini Tiwari</t>
        </is>
      </c>
      <c r="E74" s="76" t="inlineStr">
        <is>
          <t>yasasvini2410079@ssn.edu.in</t>
        </is>
      </c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1" t="n"/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>
        <f>COUNTIF(F74:BH74,"P")</f>
        <v/>
      </c>
      <c r="BJ74" s="71">
        <f>SUM((BI74/BI12)*100)</f>
        <v/>
      </c>
    </row>
    <row r="75" ht="21" customHeight="1" s="55">
      <c r="A75" s="73" t="n">
        <v>63</v>
      </c>
      <c r="B75" s="74" t="n">
        <v>2410480</v>
      </c>
      <c r="C75" s="75" t="n">
        <v>3122245002129</v>
      </c>
      <c r="D75" s="76" t="inlineStr">
        <is>
          <t>Yashwanth B</t>
        </is>
      </c>
      <c r="E75" s="76" t="inlineStr">
        <is>
          <t>yashwanth2410480@ssn.edu.in</t>
        </is>
      </c>
      <c r="F75" s="71" t="n"/>
      <c r="G75" s="71" t="n"/>
      <c r="H75" s="71" t="n"/>
      <c r="I75" s="71" t="n"/>
      <c r="J75" s="71" t="n"/>
      <c r="K75" s="71" t="n"/>
      <c r="L75" s="71" t="n"/>
      <c r="M75" s="7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1" t="n"/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>
        <f>COUNTIF(F75:BH75,"P")</f>
        <v/>
      </c>
      <c r="BJ75" s="71">
        <f>SUM((BI75/BI12)*100)</f>
        <v/>
      </c>
    </row>
    <row r="76" ht="21" customHeight="1" s="55">
      <c r="A76" s="73" t="n">
        <v>64</v>
      </c>
      <c r="B76" s="74" t="n">
        <v>2410433</v>
      </c>
      <c r="C76" s="75" t="n">
        <v>3122245002130</v>
      </c>
      <c r="D76" s="76" t="inlineStr">
        <is>
          <t>Yashwanth R</t>
        </is>
      </c>
      <c r="E76" s="76" t="inlineStr">
        <is>
          <t>yashwanth2410433@ssn.edu.in</t>
        </is>
      </c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1" t="n"/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>
        <f>COUNTIF(F76:BH76,"P")</f>
        <v/>
      </c>
      <c r="BJ76" s="71">
        <f>SUM((BI76/BI12)*100)</f>
        <v/>
      </c>
    </row>
    <row r="77" ht="21" customHeight="1" s="55">
      <c r="A77" s="73" t="n">
        <v>65</v>
      </c>
      <c r="B77" s="74" t="n">
        <v>2410096</v>
      </c>
      <c r="C77" s="75" t="n">
        <v>3122245002131</v>
      </c>
      <c r="D77" s="76" t="inlineStr">
        <is>
          <t>Yasmithasri B</t>
        </is>
      </c>
      <c r="E77" s="76" t="inlineStr">
        <is>
          <t>yasmithasri2410096@ssn.edu.in</t>
        </is>
      </c>
      <c r="F77" s="71" t="n"/>
      <c r="G77" s="71" t="n"/>
      <c r="H77" s="71" t="n"/>
      <c r="I77" s="71" t="n"/>
      <c r="J77" s="71" t="n"/>
      <c r="K77" s="71" t="n"/>
      <c r="L77" s="71" t="n"/>
      <c r="M77" s="7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1" t="n"/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>
        <f>COUNTIF(F77:BH77,"P")</f>
        <v/>
      </c>
      <c r="BJ77" s="71">
        <f>SUM((BI77/BI12)*100)</f>
        <v/>
      </c>
    </row>
    <row r="78" ht="21" customHeight="1" s="55">
      <c r="A78" s="73" t="n">
        <v>66</v>
      </c>
      <c r="B78" s="74" t="n">
        <v>2410990</v>
      </c>
      <c r="C78" s="75" t="n">
        <v>3122245002132</v>
      </c>
      <c r="D78" s="76" t="inlineStr">
        <is>
          <t>Yuvanitha A R</t>
        </is>
      </c>
      <c r="E78" s="76" t="inlineStr">
        <is>
          <t>yuvanitha2410990@ssn.edu.in</t>
        </is>
      </c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1" t="n"/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>
        <f>COUNTIF(F78:BH78,"P")</f>
        <v/>
      </c>
      <c r="BJ78" s="71">
        <f>SUM((BI78/BI12)*100)</f>
        <v/>
      </c>
    </row>
    <row r="79" ht="21" customHeight="1" s="55">
      <c r="A79" s="73" t="n">
        <v>67</v>
      </c>
      <c r="B79" s="74" t="n">
        <v>2412049</v>
      </c>
      <c r="C79" s="75" t="n">
        <v>3122245002304</v>
      </c>
      <c r="D79" s="76" t="inlineStr">
        <is>
          <t>Darshan S S</t>
        </is>
      </c>
      <c r="E79" s="76" t="inlineStr">
        <is>
          <t>darshan2412049@ssn.edu.in</t>
        </is>
      </c>
      <c r="F79" s="71" t="n"/>
      <c r="G79" s="71" t="n"/>
      <c r="H79" s="71" t="n"/>
      <c r="I79" s="71" t="n"/>
      <c r="J79" s="71" t="n"/>
      <c r="K79" s="71" t="n"/>
      <c r="L79" s="71" t="n"/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  <c r="Z79" s="71" t="n"/>
      <c r="AA79" s="71" t="n"/>
      <c r="AB79" s="71" t="n"/>
      <c r="AC79" s="7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>
        <f>COUNTIF(F79:BH79,"P")</f>
        <v/>
      </c>
      <c r="BJ79" s="71">
        <f>SUM((BI79/BI12)*100)</f>
        <v/>
      </c>
    </row>
    <row r="80" ht="21" customHeight="1" s="55">
      <c r="A80" s="73" t="n">
        <v>68</v>
      </c>
      <c r="B80" s="74" t="n">
        <v>2412046</v>
      </c>
      <c r="C80" s="75" t="n">
        <v>3122245002307</v>
      </c>
      <c r="D80" s="76" t="inlineStr">
        <is>
          <t>Manojkumar G</t>
        </is>
      </c>
      <c r="E80" s="76" t="inlineStr">
        <is>
          <t>manojkumar2412046@ssn.edu.in</t>
        </is>
      </c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>
        <f>COUNTIF(F80:BH80,"P")</f>
        <v/>
      </c>
      <c r="BJ80" s="71">
        <f>SUM((BI80/BI12)*100)</f>
        <v/>
      </c>
    </row>
    <row r="81" ht="21" customHeight="1" s="55">
      <c r="A81" s="73" t="n">
        <v>69</v>
      </c>
      <c r="B81" s="74" t="n">
        <v>2412010</v>
      </c>
      <c r="C81" s="75" t="n">
        <v>3122245002308</v>
      </c>
      <c r="D81" s="76" t="inlineStr">
        <is>
          <t>Rhea Jenifer P</t>
        </is>
      </c>
      <c r="E81" s="76" t="inlineStr">
        <is>
          <t>rheajenifer2412010@ssn.edu.in</t>
        </is>
      </c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8" t="n"/>
      <c r="AB81" s="88" t="n"/>
      <c r="AC81" s="88" t="n"/>
      <c r="AD81" s="88" t="n"/>
      <c r="AE81" s="88" t="n"/>
      <c r="AF81" s="88" t="n"/>
      <c r="AG81" s="88" t="n"/>
      <c r="AH81" s="88" t="n"/>
      <c r="AI81" s="88" t="n"/>
      <c r="AJ81" s="88" t="n"/>
      <c r="AK81" s="88" t="n"/>
      <c r="AL81" s="88" t="n"/>
      <c r="AM81" s="88" t="n"/>
      <c r="AN81" s="88" t="n"/>
      <c r="AO81" s="88" t="n"/>
      <c r="AP81" s="88" t="n"/>
      <c r="AQ81" s="88" t="n"/>
      <c r="AR81" s="88" t="n"/>
      <c r="AS81" s="88" t="n"/>
      <c r="AT81" s="88" t="n"/>
      <c r="AU81" s="88" t="n"/>
      <c r="AV81" s="88" t="n"/>
      <c r="AW81" s="88" t="n"/>
      <c r="AX81" s="88" t="n"/>
      <c r="AY81" s="88" t="n"/>
      <c r="AZ81" s="88" t="n"/>
      <c r="BA81" s="88" t="n"/>
      <c r="BB81" s="88" t="n"/>
      <c r="BC81" s="88" t="n"/>
      <c r="BD81" s="88" t="n"/>
      <c r="BE81" s="88" t="n"/>
      <c r="BF81" s="88" t="n"/>
      <c r="BG81" s="88" t="n"/>
      <c r="BH81" s="88" t="n"/>
      <c r="BI81" s="88">
        <f>COUNTIF(F81:BH81,"P")</f>
        <v/>
      </c>
      <c r="BJ81" s="88">
        <f>SUM((BI81/BI12)*100)</f>
        <v/>
      </c>
    </row>
    <row r="82" ht="21" customHeight="1" s="55">
      <c r="A82" s="73" t="n">
        <v>70</v>
      </c>
      <c r="B82" s="74" t="n">
        <v>2412073</v>
      </c>
      <c r="C82" s="75" t="n">
        <v>3122245002309</v>
      </c>
      <c r="D82" s="76" t="inlineStr">
        <is>
          <t>Sadhika T S</t>
        </is>
      </c>
      <c r="E82" s="76" t="inlineStr">
        <is>
          <t>sadhika2412073@ssn.edu.in</t>
        </is>
      </c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1" t="n"/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>
        <f>COUNTIF(F82:BH82,"P")</f>
        <v/>
      </c>
      <c r="BJ82" s="71">
        <f>SUM((BI82/BI12)*100)</f>
        <v/>
      </c>
    </row>
    <row r="83" ht="21" customHeight="1" s="55">
      <c r="A83" s="73" t="n">
        <v>71</v>
      </c>
      <c r="B83" s="74" t="n">
        <v>2412001</v>
      </c>
      <c r="C83" s="75" t="n">
        <v>3122245002310</v>
      </c>
      <c r="D83" s="76" t="inlineStr">
        <is>
          <t>Sundararajan R</t>
        </is>
      </c>
      <c r="E83" s="76" t="inlineStr">
        <is>
          <t>sundararajan2412001@ssn.edu.in</t>
        </is>
      </c>
      <c r="F83" s="71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1" t="n"/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  <c r="BJ83" s="71" t="n"/>
    </row>
    <row r="84" ht="12.75" customHeight="1" s="55">
      <c r="B84" s="77" t="n"/>
      <c r="C84" s="77" t="n"/>
    </row>
    <row r="85" ht="12.75" customHeight="1" s="55">
      <c r="B85" s="77" t="n"/>
      <c r="C85" s="77" t="n"/>
    </row>
    <row r="86" ht="12.75" customHeight="1" s="55">
      <c r="B86" s="77" t="n"/>
      <c r="C86" s="77" t="n"/>
    </row>
    <row r="87" ht="12.75" customHeight="1" s="55">
      <c r="B87" s="77" t="n"/>
      <c r="C87" s="77" t="n"/>
    </row>
    <row r="88" ht="12.75" customHeight="1" s="55">
      <c r="B88" s="77" t="n"/>
      <c r="C88" s="77" t="n"/>
    </row>
    <row r="89" ht="12.75" customHeight="1" s="55">
      <c r="B89" s="77" t="n"/>
      <c r="C89" s="77" t="n"/>
    </row>
    <row r="90" ht="12.75" customHeight="1" s="55">
      <c r="B90" s="77" t="n"/>
      <c r="C90" s="77" t="n"/>
    </row>
    <row r="91" ht="39" customHeight="1" s="55">
      <c r="B91" s="77" t="n"/>
      <c r="C91" s="77" t="n"/>
      <c r="E91" s="71" t="inlineStr">
        <is>
          <t>Total No. of Students</t>
        </is>
      </c>
      <c r="F91" s="71" t="n">
        <v>71</v>
      </c>
      <c r="G91" s="71" t="n"/>
      <c r="H91" s="71" t="n"/>
      <c r="I91" s="71" t="n"/>
      <c r="J91" s="71" t="n"/>
      <c r="K91" s="71" t="n"/>
      <c r="L91" s="71" t="n"/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</row>
    <row r="92" ht="39" customHeight="1" s="55">
      <c r="B92" s="77" t="n"/>
      <c r="C92" s="77" t="n"/>
      <c r="E92" s="71" t="inlineStr">
        <is>
          <t>Total No. of Presentees</t>
        </is>
      </c>
      <c r="F92" s="71">
        <f>COUNTIF(F13:F82,"P")</f>
        <v/>
      </c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</row>
    <row r="93" ht="39" customHeight="1" s="55">
      <c r="B93" s="77" t="n"/>
      <c r="C93" s="77" t="n"/>
      <c r="E93" s="71" t="inlineStr">
        <is>
          <t>Total No. of Absentees</t>
        </is>
      </c>
      <c r="F93" s="71">
        <f>COUNTIF(F13:F82,"A")</f>
        <v/>
      </c>
      <c r="G93" s="71" t="n"/>
      <c r="H93" s="71" t="n"/>
      <c r="I93" s="71" t="n"/>
      <c r="J93" s="71" t="n"/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</row>
    <row r="94" ht="39" customHeight="1" s="55">
      <c r="B94" s="77" t="n"/>
      <c r="C94" s="77" t="n"/>
      <c r="E94" s="71" t="inlineStr">
        <is>
          <t>Presentees Percentage</t>
        </is>
      </c>
      <c r="F94" s="71">
        <f>SUM((F92/F91)*100)</f>
        <v/>
      </c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1" t="n"/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  <c r="BJ94" s="71" t="n"/>
    </row>
    <row r="95" ht="39" customHeight="1" s="55">
      <c r="B95" s="77" t="n"/>
      <c r="C95" s="77" t="n"/>
      <c r="E95" s="71" t="inlineStr">
        <is>
          <t>Absentees Percentage</t>
        </is>
      </c>
      <c r="F95" s="71">
        <f>SUM((F93/F91)*100)</f>
        <v/>
      </c>
      <c r="G95" s="71" t="n"/>
      <c r="H95" s="71" t="n"/>
      <c r="I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  <c r="BJ95" s="71" t="n"/>
    </row>
    <row r="96" ht="12.75" customHeight="1" s="55">
      <c r="B96" s="77" t="n"/>
      <c r="C96" s="77" t="n"/>
    </row>
    <row r="97" ht="12.75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2">
    <mergeCell ref="A7:I7"/>
    <mergeCell ref="F10:N10"/>
    <mergeCell ref="A8:D8"/>
    <mergeCell ref="A2:AX2"/>
    <mergeCell ref="B11:B12"/>
    <mergeCell ref="A1:AX1"/>
    <mergeCell ref="C11:C12"/>
    <mergeCell ref="D11:D12"/>
    <mergeCell ref="F11:BH11"/>
    <mergeCell ref="E11:E12"/>
    <mergeCell ref="A11:A12"/>
    <mergeCell ref="A3:AX3"/>
  </mergeCells>
  <conditionalFormatting sqref="B13:B83">
    <cfRule type="expression" rank="0" priority="2" equalAverage="0" aboveAverage="0" dxfId="0" text="" percent="0" bottom="0">
      <formula>AND(COUNTIF($B$10:$B$22,B13)+COUNTIF($B$24:$B$62,B13)&gt;1,NOT(ISBLANK(B13)))</formula>
    </cfRule>
  </conditionalFormatting>
  <hyperlinks>
    <hyperlink xmlns:r="http://schemas.openxmlformats.org/officeDocument/2006/relationships" ref="AU7" display="ug2024-it@ssn.edu.in 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8" customWidth="1" style="54" min="6" max="62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ATTENDANCE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  <c r="AV5" s="60" t="inlineStr">
        <is>
          <t>Batch : 2024-28</t>
        </is>
      </c>
    </row>
    <row r="6" ht="10.5" customHeight="1" s="55">
      <c r="A6" s="58" t="n"/>
      <c r="B6" s="59" t="n"/>
      <c r="C6" s="59" t="n"/>
    </row>
    <row r="7" ht="28.5" customHeight="1" s="55">
      <c r="A7" s="61" t="inlineStr">
        <is>
          <t>Sub Code &amp; Sub Name : UIT3519 - Introduction to Cyber Security</t>
        </is>
      </c>
      <c r="AU7" s="62" t="inlineStr">
        <is>
          <t xml:space="preserve">ug2024-it@ssn.edu.in </t>
        </is>
      </c>
    </row>
    <row r="8" ht="30.75" customHeight="1" s="55">
      <c r="A8" s="61" t="inlineStr">
        <is>
          <t>Staff Name : External Expert</t>
        </is>
      </c>
      <c r="E8" s="64" t="n"/>
    </row>
    <row r="9" ht="30.75" customHeight="1" s="55">
      <c r="A9" s="61" t="n"/>
      <c r="B9" s="61" t="n"/>
      <c r="C9" s="61" t="n"/>
      <c r="D9" s="61" t="n"/>
      <c r="E9" s="64" t="n"/>
    </row>
    <row r="10" ht="30.75" customHeight="1" s="55">
      <c r="A10" s="61" t="n"/>
      <c r="B10" s="61" t="n"/>
      <c r="C10" s="61" t="n"/>
      <c r="D10" s="61" t="n"/>
      <c r="E10" s="64" t="n"/>
      <c r="F10" s="65" t="inlineStr">
        <is>
          <t>Mark  "P" for presentees , "A" for absentees</t>
        </is>
      </c>
      <c r="G10" s="66" t="n"/>
      <c r="H10" s="66" t="n"/>
      <c r="I10" s="66" t="n"/>
      <c r="J10" s="66" t="n"/>
      <c r="K10" s="66" t="n"/>
      <c r="L10" s="66" t="n"/>
      <c r="M10" s="66" t="n"/>
      <c r="N10" s="66" t="n"/>
    </row>
    <row r="11" ht="31.5" customHeight="1" s="55">
      <c r="A11" s="67" t="inlineStr">
        <is>
          <t>S.No</t>
        </is>
      </c>
      <c r="B11" s="67" t="inlineStr">
        <is>
          <t>Digital Id</t>
        </is>
      </c>
      <c r="C11" s="67" t="inlineStr">
        <is>
          <t>Register Number</t>
        </is>
      </c>
      <c r="D11" s="67" t="inlineStr">
        <is>
          <t>Name as per 12th Mark Sheet</t>
        </is>
      </c>
      <c r="E11" s="67" t="inlineStr">
        <is>
          <t>SSN Email ID</t>
        </is>
      </c>
      <c r="F11" s="68" t="inlineStr">
        <is>
          <t>Date</t>
        </is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  <c r="AX11" s="69" t="n"/>
      <c r="AY11" s="69" t="n"/>
      <c r="AZ11" s="69" t="n"/>
      <c r="BA11" s="69" t="n"/>
      <c r="BB11" s="69" t="n"/>
      <c r="BC11" s="69" t="n"/>
      <c r="BD11" s="69" t="n"/>
      <c r="BE11" s="69" t="n"/>
      <c r="BF11" s="69" t="n"/>
      <c r="BG11" s="69" t="n"/>
      <c r="BH11" s="70" t="n"/>
      <c r="BI11" s="71" t="n"/>
      <c r="BJ11" s="71" t="n"/>
    </row>
    <row r="12" ht="21" customHeight="1" s="55">
      <c r="A12" s="72" t="n"/>
      <c r="B12" s="72" t="n"/>
      <c r="C12" s="72" t="n"/>
      <c r="D12" s="72" t="n"/>
      <c r="E12" s="72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>
        <f>COUNTA(F12:BH12)</f>
        <v/>
      </c>
      <c r="BJ12" s="71" t="n"/>
    </row>
    <row r="13" ht="21" customHeight="1" s="55">
      <c r="A13" s="73" t="n">
        <v>1</v>
      </c>
      <c r="B13" s="74" t="n">
        <v>2410606</v>
      </c>
      <c r="C13" s="75" t="n">
        <v>3122245002067</v>
      </c>
      <c r="D13" s="76" t="inlineStr">
        <is>
          <t>Pragalya T</t>
        </is>
      </c>
      <c r="E13" s="76" t="inlineStr">
        <is>
          <t>pragalya2410606@ssn.edu.in</t>
        </is>
      </c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1" t="n"/>
      <c r="BF13" s="71" t="n"/>
      <c r="BG13" s="71" t="n"/>
      <c r="BH13" s="71" t="n"/>
      <c r="BI13" s="71">
        <f>COUNTIF(F13:BH13,"P")</f>
        <v/>
      </c>
      <c r="BJ13" s="71">
        <f>SUM((BI13/BI12)*100)</f>
        <v/>
      </c>
    </row>
    <row r="14" ht="21" customHeight="1" s="55">
      <c r="A14" s="73" t="n">
        <v>2</v>
      </c>
      <c r="B14" s="74" t="n">
        <v>2410674</v>
      </c>
      <c r="C14" s="75" t="n">
        <v>3122245002068</v>
      </c>
      <c r="D14" s="76" t="inlineStr">
        <is>
          <t>Praghathish G T</t>
        </is>
      </c>
      <c r="E14" s="76" t="inlineStr">
        <is>
          <t>praghathish2410674@ssn.edu.in</t>
        </is>
      </c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1" t="n"/>
      <c r="BF14" s="71" t="n"/>
      <c r="BG14" s="71" t="n"/>
      <c r="BH14" s="71" t="n"/>
      <c r="BI14" s="71">
        <f>COUNTIF(F14:BH14,"P")</f>
        <v/>
      </c>
      <c r="BJ14" s="71">
        <f>SUM((BI14/BI12)*100)</f>
        <v/>
      </c>
    </row>
    <row r="15" ht="21" customHeight="1" s="55">
      <c r="A15" s="73" t="n">
        <v>3</v>
      </c>
      <c r="B15" s="74" t="n">
        <v>2410080</v>
      </c>
      <c r="C15" s="75" t="n">
        <v>3122245002069</v>
      </c>
      <c r="D15" s="76" t="inlineStr">
        <is>
          <t>Pranav C K</t>
        </is>
      </c>
      <c r="E15" s="76" t="inlineStr">
        <is>
          <t>pranav2410080@ssn.edu.in</t>
        </is>
      </c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1" t="n"/>
      <c r="BF15" s="71" t="n"/>
      <c r="BG15" s="71" t="n"/>
      <c r="BH15" s="71" t="n"/>
      <c r="BI15" s="71">
        <f>COUNTIF(F15:BH15,"P")</f>
        <v/>
      </c>
      <c r="BJ15" s="71">
        <f>SUM((BI15/BI12)*100)</f>
        <v/>
      </c>
    </row>
    <row r="16" ht="21" customHeight="1" s="55">
      <c r="A16" s="73" t="n">
        <v>4</v>
      </c>
      <c r="B16" s="74" t="n">
        <v>2410328</v>
      </c>
      <c r="C16" s="75" t="n">
        <v>3122245002070</v>
      </c>
      <c r="D16" s="76" t="inlineStr">
        <is>
          <t>Pranav Vasudevan</t>
        </is>
      </c>
      <c r="E16" s="76" t="inlineStr">
        <is>
          <t>pranav2410328@ssn.edu.in</t>
        </is>
      </c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1" t="n"/>
      <c r="BF16" s="71" t="n"/>
      <c r="BG16" s="71" t="n"/>
      <c r="BH16" s="71" t="n"/>
      <c r="BI16" s="71">
        <f>COUNTIF(F16:BH16,"P")</f>
        <v/>
      </c>
      <c r="BJ16" s="71">
        <f>SUM((BI16/BI12)*100)</f>
        <v/>
      </c>
    </row>
    <row r="17" ht="21" customHeight="1" s="55">
      <c r="A17" s="73" t="n">
        <v>5</v>
      </c>
      <c r="B17" s="74" t="n">
        <v>2410738</v>
      </c>
      <c r="C17" s="75" t="n">
        <v>3122245002071</v>
      </c>
      <c r="D17" s="76" t="inlineStr">
        <is>
          <t>Radhakrishnan M</t>
        </is>
      </c>
      <c r="E17" s="76" t="inlineStr">
        <is>
          <t>radhakrishnan2410738@ssn.edu.in</t>
        </is>
      </c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1" t="n"/>
      <c r="BF17" s="71" t="n"/>
      <c r="BG17" s="71" t="n"/>
      <c r="BH17" s="71" t="n"/>
      <c r="BI17" s="71">
        <f>COUNTIF(F17:BH17,"P")</f>
        <v/>
      </c>
      <c r="BJ17" s="71">
        <f>SUM((BI17/BI12)*100)</f>
        <v/>
      </c>
    </row>
    <row r="18" ht="21" customHeight="1" s="55">
      <c r="A18" s="73" t="n">
        <v>6</v>
      </c>
      <c r="B18" s="74" t="n">
        <v>2410786</v>
      </c>
      <c r="C18" s="75" t="n">
        <v>3122245002072</v>
      </c>
      <c r="D18" s="76" t="inlineStr">
        <is>
          <t>Raghul Krishna V</t>
        </is>
      </c>
      <c r="E18" s="76" t="inlineStr">
        <is>
          <t>raghulkrishna2410786@ssn.edu.in</t>
        </is>
      </c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1" t="n"/>
      <c r="BF18" s="71" t="n"/>
      <c r="BG18" s="71" t="n"/>
      <c r="BH18" s="71" t="n"/>
      <c r="BI18" s="71">
        <f>COUNTIF(F18:BH18,"P")</f>
        <v/>
      </c>
      <c r="BJ18" s="71">
        <f>SUM((BI18/BI12)*100)</f>
        <v/>
      </c>
    </row>
    <row r="19" ht="21" customHeight="1" s="55">
      <c r="A19" s="73" t="n">
        <v>7</v>
      </c>
      <c r="B19" s="74" t="n">
        <v>2410441</v>
      </c>
      <c r="C19" s="75" t="n">
        <v>3122245002073</v>
      </c>
      <c r="D19" s="76" t="inlineStr">
        <is>
          <t>Ragul A</t>
        </is>
      </c>
      <c r="E19" s="76" t="inlineStr">
        <is>
          <t>ragul2410441@ssn.edu.in</t>
        </is>
      </c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1" t="n"/>
      <c r="BF19" s="71" t="n"/>
      <c r="BG19" s="71" t="n"/>
      <c r="BH19" s="71" t="n"/>
      <c r="BI19" s="71">
        <f>COUNTIF(F19:BH19,"P")</f>
        <v/>
      </c>
      <c r="BJ19" s="71">
        <f>SUM((BI19/BI12)*100)</f>
        <v/>
      </c>
    </row>
    <row r="20" ht="21" customHeight="1" s="55">
      <c r="A20" s="73" t="n">
        <v>8</v>
      </c>
      <c r="B20" s="74" t="n">
        <v>2410834</v>
      </c>
      <c r="C20" s="75" t="n">
        <v>3122245002074</v>
      </c>
      <c r="D20" s="76" t="inlineStr">
        <is>
          <t>Ragunandhan M</t>
        </is>
      </c>
      <c r="E20" s="76" t="inlineStr">
        <is>
          <t>ragunandhan2410834@ssn.edu.in</t>
        </is>
      </c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>
        <f>COUNTIF(F20:BH20,"P")</f>
        <v/>
      </c>
      <c r="BJ20" s="71">
        <f>SUM((BI20/BI12)*100)</f>
        <v/>
      </c>
    </row>
    <row r="21" ht="21" customHeight="1" s="55">
      <c r="A21" s="73" t="n">
        <v>9</v>
      </c>
      <c r="B21" s="74" t="n">
        <v>2410098</v>
      </c>
      <c r="C21" s="75" t="n">
        <v>3122245002075</v>
      </c>
      <c r="D21" s="76" t="inlineStr">
        <is>
          <t>Rajkumar M</t>
        </is>
      </c>
      <c r="E21" s="76" t="inlineStr">
        <is>
          <t>rajkumar2410098@ssn.edu.in</t>
        </is>
      </c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>
        <f>COUNTIF(F21:BH21,"P")</f>
        <v/>
      </c>
      <c r="BJ21" s="71">
        <f>SUM((BI21/BI12)*100)</f>
        <v/>
      </c>
    </row>
    <row r="22" ht="21" customHeight="1" s="55">
      <c r="A22" s="73" t="n">
        <v>10</v>
      </c>
      <c r="B22" s="74" t="n">
        <v>2410632</v>
      </c>
      <c r="C22" s="75" t="n">
        <v>3122245002076</v>
      </c>
      <c r="D22" s="76" t="inlineStr">
        <is>
          <t>Ramakrishnan M R</t>
        </is>
      </c>
      <c r="E22" s="76" t="inlineStr">
        <is>
          <t>ramakrishnan2410632@ssn.edu.in</t>
        </is>
      </c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1" t="n"/>
      <c r="BF22" s="71" t="n"/>
      <c r="BG22" s="71" t="n"/>
      <c r="BH22" s="71" t="n"/>
      <c r="BI22" s="71">
        <f>COUNTIF(F22:BH22,"P")</f>
        <v/>
      </c>
      <c r="BJ22" s="71">
        <f>SUM((BI22/BI12)*100)</f>
        <v/>
      </c>
    </row>
    <row r="23" ht="21" customHeight="1" s="55">
      <c r="A23" s="73" t="n">
        <v>11</v>
      </c>
      <c r="B23" s="74" t="n">
        <v>2410313</v>
      </c>
      <c r="C23" s="75" t="n">
        <v>3122245002077</v>
      </c>
      <c r="D23" s="76" t="inlineStr">
        <is>
          <t>Raveena V K</t>
        </is>
      </c>
      <c r="E23" s="76" t="inlineStr">
        <is>
          <t>raveena2410313@ssn.edu.in</t>
        </is>
      </c>
      <c r="F23" s="71" t="n"/>
      <c r="G23" s="71" t="n"/>
      <c r="H23" s="71" t="n"/>
      <c r="I23" s="71" t="n"/>
      <c r="J23" s="71" t="n"/>
      <c r="K23" s="71" t="n"/>
      <c r="L23" s="71" t="n"/>
      <c r="M23" s="7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71" t="n"/>
      <c r="AW23" s="71" t="n"/>
      <c r="AX23" s="71" t="n"/>
      <c r="AY23" s="71" t="n"/>
      <c r="AZ23" s="71" t="n"/>
      <c r="BA23" s="71" t="n"/>
      <c r="BB23" s="71" t="n"/>
      <c r="BC23" s="71" t="n"/>
      <c r="BD23" s="71" t="n"/>
      <c r="BE23" s="71" t="n"/>
      <c r="BF23" s="71" t="n"/>
      <c r="BG23" s="71" t="n"/>
      <c r="BH23" s="71" t="n"/>
      <c r="BI23" s="71">
        <f>COUNTIF(F23:BH23,"P")</f>
        <v/>
      </c>
      <c r="BJ23" s="71">
        <f>SUM((BI23/BI12)*100)</f>
        <v/>
      </c>
    </row>
    <row r="24" ht="21" customHeight="1" s="55">
      <c r="A24" s="73" t="n">
        <v>12</v>
      </c>
      <c r="B24" s="74" t="n">
        <v>2410581</v>
      </c>
      <c r="C24" s="75" t="n">
        <v>3122245002078</v>
      </c>
      <c r="D24" s="76" t="inlineStr">
        <is>
          <t>Ridhi R</t>
        </is>
      </c>
      <c r="E24" s="76" t="inlineStr">
        <is>
          <t>ridhi2410581@ssn.edu.in</t>
        </is>
      </c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71" t="n"/>
      <c r="AW24" s="71" t="n"/>
      <c r="AX24" s="71" t="n"/>
      <c r="AY24" s="71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>
        <f>COUNTIF(F24:BH24,"P")</f>
        <v/>
      </c>
      <c r="BJ24" s="71">
        <f>SUM((BI24/BI12)*100)</f>
        <v/>
      </c>
    </row>
    <row r="25" ht="21" customHeight="1" s="55">
      <c r="A25" s="73" t="n">
        <v>13</v>
      </c>
      <c r="B25" s="74" t="n">
        <v>2410343</v>
      </c>
      <c r="C25" s="75" t="n">
        <v>3122245002079</v>
      </c>
      <c r="D25" s="76" t="inlineStr">
        <is>
          <t>Rishikumar Pitchiah Kalyanakumar</t>
        </is>
      </c>
      <c r="E25" s="76" t="inlineStr">
        <is>
          <t>rishikumar2410343@ssn.edu.in</t>
        </is>
      </c>
      <c r="F25" s="71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71" t="n"/>
      <c r="AW25" s="71" t="n"/>
      <c r="AX25" s="71" t="n"/>
      <c r="AY25" s="71" t="n"/>
      <c r="AZ25" s="71" t="n"/>
      <c r="BA25" s="71" t="n"/>
      <c r="BB25" s="71" t="n"/>
      <c r="BC25" s="71" t="n"/>
      <c r="BD25" s="71" t="n"/>
      <c r="BE25" s="71" t="n"/>
      <c r="BF25" s="71" t="n"/>
      <c r="BG25" s="71" t="n"/>
      <c r="BH25" s="71" t="n"/>
      <c r="BI25" s="71">
        <f>COUNTIF(F25:BH25,"P")</f>
        <v/>
      </c>
      <c r="BJ25" s="71">
        <f>SUM((BI25/BI12)*100)</f>
        <v/>
      </c>
    </row>
    <row r="26" ht="21" customHeight="1" s="55">
      <c r="A26" s="73" t="n">
        <v>14</v>
      </c>
      <c r="B26" s="74" t="n">
        <v>2410308</v>
      </c>
      <c r="C26" s="75" t="n">
        <v>3122245002080</v>
      </c>
      <c r="D26" s="76" t="inlineStr">
        <is>
          <t>Rithin Asvathama V</t>
        </is>
      </c>
      <c r="E26" s="76" t="inlineStr">
        <is>
          <t>rithinasvathama2410308@ssn.edu.in</t>
        </is>
      </c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>
        <f>COUNTIF(F26:BH26,"P")</f>
        <v/>
      </c>
      <c r="BJ26" s="71">
        <f>SUM((BI26/BI12)*100)</f>
        <v/>
      </c>
    </row>
    <row r="27" ht="21" customHeight="1" s="55">
      <c r="A27" s="73" t="n">
        <v>15</v>
      </c>
      <c r="B27" s="74" t="n">
        <v>2410445</v>
      </c>
      <c r="C27" s="75" t="n">
        <v>3122245002081</v>
      </c>
      <c r="D27" s="76" t="inlineStr">
        <is>
          <t>Ritvik Kumar T</t>
        </is>
      </c>
      <c r="E27" s="76" t="inlineStr">
        <is>
          <t>ritvikkumar2410445@ssn.edu.in</t>
        </is>
      </c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>
        <f>COUNTIF(F27:BH27,"P")</f>
        <v/>
      </c>
      <c r="BJ27" s="71">
        <f>SUM((BI27/BI12)*100)</f>
        <v/>
      </c>
    </row>
    <row r="28" ht="21" customHeight="1" s="55">
      <c r="A28" s="73" t="n">
        <v>16</v>
      </c>
      <c r="B28" s="74" t="n">
        <v>2410230</v>
      </c>
      <c r="C28" s="75" t="n">
        <v>3122245002082</v>
      </c>
      <c r="D28" s="76" t="inlineStr">
        <is>
          <t>Roja Sri R</t>
        </is>
      </c>
      <c r="E28" s="76" t="inlineStr">
        <is>
          <t>rojasri2410230@ssn.edu.in</t>
        </is>
      </c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>
        <f>COUNTIF(F28:BH28,"P")</f>
        <v/>
      </c>
      <c r="BJ28" s="71">
        <f>SUM((BI28/BI12)*100)</f>
        <v/>
      </c>
    </row>
    <row r="29" ht="21" customHeight="1" s="55">
      <c r="A29" s="73" t="n">
        <v>17</v>
      </c>
      <c r="B29" s="74" t="n">
        <v>2410331</v>
      </c>
      <c r="C29" s="75" t="n">
        <v>3122245002083</v>
      </c>
      <c r="D29" s="76" t="inlineStr">
        <is>
          <t>Rovena Madharasi I</t>
        </is>
      </c>
      <c r="E29" s="76" t="inlineStr">
        <is>
          <t>rovenamadharasi2410331@ssn.edu.in</t>
        </is>
      </c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>
        <f>COUNTIF(F29:BH29,"P")</f>
        <v/>
      </c>
      <c r="BJ29" s="71">
        <f>SUM((BI29/BI12)*100)</f>
        <v/>
      </c>
    </row>
    <row r="30" ht="21" customHeight="1" s="55">
      <c r="A30" s="73" t="n">
        <v>18</v>
      </c>
      <c r="B30" s="74" t="n">
        <v>2410229</v>
      </c>
      <c r="C30" s="75" t="n">
        <v>3122245002084</v>
      </c>
      <c r="D30" s="76" t="inlineStr">
        <is>
          <t>Sabarish S B</t>
        </is>
      </c>
      <c r="E30" s="76" t="inlineStr">
        <is>
          <t>sabarish2410229@ssn.edu.in</t>
        </is>
      </c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>
        <f>COUNTIF(F30:BH30,"P")</f>
        <v/>
      </c>
      <c r="BJ30" s="71">
        <f>SUM((BI30/BI12)*100)</f>
        <v/>
      </c>
    </row>
    <row r="31" ht="21" customHeight="1" s="55">
      <c r="A31" s="73" t="n">
        <v>19</v>
      </c>
      <c r="B31" s="74" t="n">
        <v>2410984</v>
      </c>
      <c r="C31" s="75" t="n">
        <v>3122245002085</v>
      </c>
      <c r="D31" s="76" t="inlineStr">
        <is>
          <t>Sahana A</t>
        </is>
      </c>
      <c r="E31" s="76" t="inlineStr">
        <is>
          <t>sahana2410984@ssn.edu.in</t>
        </is>
      </c>
      <c r="F31" s="71" t="n"/>
      <c r="G31" s="71" t="n"/>
      <c r="H31" s="71" t="n"/>
      <c r="I31" s="71" t="n"/>
      <c r="J31" s="71" t="n"/>
      <c r="K31" s="71" t="n"/>
      <c r="L31" s="71" t="n"/>
      <c r="M31" s="7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>
        <f>COUNTIF(F31:BH31,"P")</f>
        <v/>
      </c>
      <c r="BJ31" s="71">
        <f>SUM((BI31/BI12)*100)</f>
        <v/>
      </c>
    </row>
    <row r="32" ht="21" customHeight="1" s="55">
      <c r="A32" s="73" t="n">
        <v>20</v>
      </c>
      <c r="B32" s="74" t="n">
        <v>2410091</v>
      </c>
      <c r="C32" s="75" t="n">
        <v>3122245002086</v>
      </c>
      <c r="D32" s="76" t="inlineStr">
        <is>
          <t>Sandhya B</t>
        </is>
      </c>
      <c r="E32" s="76" t="inlineStr">
        <is>
          <t>sandhya2410091@ssn.edu.in</t>
        </is>
      </c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>
        <f>COUNTIF(F32:BH32,"P")</f>
        <v/>
      </c>
      <c r="BJ32" s="71">
        <f>SUM((BI32/BI12)*100)</f>
        <v/>
      </c>
    </row>
    <row r="33" ht="21" customHeight="1" s="55">
      <c r="A33" s="73" t="n">
        <v>21</v>
      </c>
      <c r="B33" s="74" t="n">
        <v>2410706</v>
      </c>
      <c r="C33" s="75" t="n">
        <v>3122245002087</v>
      </c>
      <c r="D33" s="76" t="inlineStr">
        <is>
          <t>Sandhya S</t>
        </is>
      </c>
      <c r="E33" s="76" t="inlineStr">
        <is>
          <t>sandhya2410706@ssn.edu.in</t>
        </is>
      </c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>
        <f>COUNTIF(F33:BH33,"P")</f>
        <v/>
      </c>
      <c r="BJ33" s="71">
        <f>SUM((BI33/BI12)*100)</f>
        <v/>
      </c>
    </row>
    <row r="34" ht="21" customHeight="1" s="55">
      <c r="A34" s="73" t="n">
        <v>22</v>
      </c>
      <c r="B34" s="74" t="n">
        <v>2410778</v>
      </c>
      <c r="C34" s="75" t="n">
        <v>3122245002088</v>
      </c>
      <c r="D34" s="76" t="inlineStr">
        <is>
          <t>Sangaraju Sathwik</t>
        </is>
      </c>
      <c r="E34" s="76" t="inlineStr">
        <is>
          <t>sangaraju2410778@ssn.edu.in</t>
        </is>
      </c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>
        <f>COUNTIF(F34:BH34,"P")</f>
        <v/>
      </c>
      <c r="BJ34" s="71">
        <f>SUM((BI34/BI12)*100)</f>
        <v/>
      </c>
    </row>
    <row r="35" ht="21" customHeight="1" s="55">
      <c r="A35" s="73" t="n">
        <v>23</v>
      </c>
      <c r="B35" s="74" t="n">
        <v>2410162</v>
      </c>
      <c r="C35" s="75" t="n">
        <v>3122245002089</v>
      </c>
      <c r="D35" s="76" t="inlineStr">
        <is>
          <t>Sanjana Shankar</t>
        </is>
      </c>
      <c r="E35" s="76" t="inlineStr">
        <is>
          <t>sanjana2410162@ssn.edu.in</t>
        </is>
      </c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>
        <f>COUNTIF(F35:BH35,"P")</f>
        <v/>
      </c>
      <c r="BJ35" s="71">
        <f>SUM((BI35/BI12)*100)</f>
        <v/>
      </c>
    </row>
    <row r="36" ht="21" customHeight="1" s="55">
      <c r="A36" s="73" t="n">
        <v>24</v>
      </c>
      <c r="B36" s="74" t="n">
        <v>2410514</v>
      </c>
      <c r="C36" s="75" t="n">
        <v>3122245002090</v>
      </c>
      <c r="D36" s="76" t="inlineStr">
        <is>
          <t>Sanjay J</t>
        </is>
      </c>
      <c r="E36" s="76" t="inlineStr">
        <is>
          <t>sanjay2410514@ssn.edu.in</t>
        </is>
      </c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>
        <f>COUNTIF(F36:BH36,"P")</f>
        <v/>
      </c>
      <c r="BJ36" s="71">
        <f>SUM((BI36/BI12)*100)</f>
        <v/>
      </c>
    </row>
    <row r="37" ht="21" customHeight="1" s="55">
      <c r="A37" s="73" t="n">
        <v>25</v>
      </c>
      <c r="B37" s="74" t="n">
        <v>2410068</v>
      </c>
      <c r="C37" s="75" t="n">
        <v>3122245002091</v>
      </c>
      <c r="D37" s="76" t="inlineStr">
        <is>
          <t>Sanjay Raam S</t>
        </is>
      </c>
      <c r="E37" s="76" t="inlineStr">
        <is>
          <t>sanjayraam2410068@ssn.edu.in</t>
        </is>
      </c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>
        <f>COUNTIF(F37:BH37,"P")</f>
        <v/>
      </c>
      <c r="BJ37" s="71">
        <f>SUM((BI37/BI12)*100)</f>
        <v/>
      </c>
    </row>
    <row r="38" ht="21" customHeight="1" s="55">
      <c r="A38" s="73" t="n">
        <v>26</v>
      </c>
      <c r="B38" s="74" t="n">
        <v>2410185</v>
      </c>
      <c r="C38" s="75" t="n">
        <v>3122245002092</v>
      </c>
      <c r="D38" s="76" t="inlineStr">
        <is>
          <t>Sanjay T</t>
        </is>
      </c>
      <c r="E38" s="76" t="inlineStr">
        <is>
          <t>sanjay2410185@ssn.edu.in</t>
        </is>
      </c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>
        <f>COUNTIF(F38:BH38,"P")</f>
        <v/>
      </c>
      <c r="BJ38" s="71">
        <f>SUM((BI38/BI12)*100)</f>
        <v/>
      </c>
    </row>
    <row r="39" ht="21" customHeight="1" s="55">
      <c r="A39" s="73" t="n">
        <v>27</v>
      </c>
      <c r="B39" s="74" t="n">
        <v>2410988</v>
      </c>
      <c r="C39" s="75" t="n">
        <v>3122245002093</v>
      </c>
      <c r="D39" s="76" t="inlineStr">
        <is>
          <t>Santhosh Aaron C</t>
        </is>
      </c>
      <c r="E39" s="76" t="inlineStr">
        <is>
          <t>santhosh2410988@ssn.edu.in</t>
        </is>
      </c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>
        <f>COUNTIF(F39:BH39,"P")</f>
        <v/>
      </c>
      <c r="BJ39" s="71">
        <f>SUM((BI39/BI12)*100)</f>
        <v/>
      </c>
    </row>
    <row r="40" ht="21" customHeight="1" s="55">
      <c r="A40" s="73" t="n">
        <v>28</v>
      </c>
      <c r="B40" s="74" t="n">
        <v>2410488</v>
      </c>
      <c r="C40" s="75" t="n">
        <v>3122245002094</v>
      </c>
      <c r="D40" s="76" t="inlineStr">
        <is>
          <t>Sarvesh K</t>
        </is>
      </c>
      <c r="E40" s="76" t="inlineStr">
        <is>
          <t>sarvesh2410488@ssn.edu.in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>
        <f>COUNTIF(F40:BH40,"P")</f>
        <v/>
      </c>
      <c r="BJ40" s="71">
        <f>SUM((BI40/BI12)*100)</f>
        <v/>
      </c>
    </row>
    <row r="41" ht="21" customHeight="1" s="55">
      <c r="A41" s="73" t="n">
        <v>29</v>
      </c>
      <c r="B41" s="74" t="n">
        <v>2410076</v>
      </c>
      <c r="C41" s="75" t="n">
        <v>3122245002095</v>
      </c>
      <c r="D41" s="76" t="inlineStr">
        <is>
          <t>Sarvesh S</t>
        </is>
      </c>
      <c r="E41" s="76" t="inlineStr">
        <is>
          <t>sarvesh2410076@ssn.edu.in</t>
        </is>
      </c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>
        <f>COUNTIF(F41:BH41,"P")</f>
        <v/>
      </c>
      <c r="BJ41" s="71">
        <f>SUM((BI41/BI12)*100)</f>
        <v/>
      </c>
    </row>
    <row r="42" ht="21" customHeight="1" s="55">
      <c r="A42" s="73" t="n">
        <v>30</v>
      </c>
      <c r="B42" s="74" t="n">
        <v>2410740</v>
      </c>
      <c r="C42" s="75" t="n">
        <v>3122245002096</v>
      </c>
      <c r="D42" s="76" t="inlineStr">
        <is>
          <t>Sarvesh S</t>
        </is>
      </c>
      <c r="E42" s="76" t="inlineStr">
        <is>
          <t>sarvesh2410740@ssn.edu.in</t>
        </is>
      </c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>
        <f>COUNTIF(F42:BH42,"P")</f>
        <v/>
      </c>
      <c r="BJ42" s="71">
        <f>SUM((BI42/BI12)*100)</f>
        <v/>
      </c>
    </row>
    <row r="43" ht="21" customHeight="1" s="55">
      <c r="A43" s="73" t="n">
        <v>31</v>
      </c>
      <c r="B43" s="74" t="n">
        <v>2410118</v>
      </c>
      <c r="C43" s="75" t="n">
        <v>3122245002097</v>
      </c>
      <c r="D43" s="76" t="inlineStr">
        <is>
          <t>Sathvik Gururaghavendran</t>
        </is>
      </c>
      <c r="E43" s="76" t="inlineStr">
        <is>
          <t>sathvik2410118@ssn.edu.in</t>
        </is>
      </c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>
        <f>COUNTIF(F43:BH43,"P")</f>
        <v/>
      </c>
      <c r="BJ43" s="71">
        <f>SUM((BI43/BI12)*100)</f>
        <v/>
      </c>
    </row>
    <row r="44" ht="21" customHeight="1" s="55">
      <c r="A44" s="73" t="n">
        <v>32</v>
      </c>
      <c r="B44" s="74" t="n">
        <v>2410486</v>
      </c>
      <c r="C44" s="75" t="n">
        <v>3122245002098</v>
      </c>
      <c r="D44" s="76" t="inlineStr">
        <is>
          <t>Shalini G</t>
        </is>
      </c>
      <c r="E44" s="76" t="inlineStr">
        <is>
          <t>shalini2410486@ssn.edu.in</t>
        </is>
      </c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>
        <f>COUNTIF(F44:BH44,"P")</f>
        <v/>
      </c>
      <c r="BJ44" s="71">
        <f>SUM((BI44/BI12)*100)</f>
        <v/>
      </c>
    </row>
    <row r="45" ht="21" customHeight="1" s="55">
      <c r="A45" s="73" t="n">
        <v>33</v>
      </c>
      <c r="B45" s="74" t="n">
        <v>2410569</v>
      </c>
      <c r="C45" s="75" t="n">
        <v>3122245002099</v>
      </c>
      <c r="D45" s="76" t="inlineStr">
        <is>
          <t>Sharaal Jospeen Rani S</t>
        </is>
      </c>
      <c r="E45" s="76" t="inlineStr">
        <is>
          <t>sharaaljospeenrani2410569@ssn.edu.in</t>
        </is>
      </c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>
        <f>COUNTIF(F45:BH45,"P")</f>
        <v/>
      </c>
      <c r="BJ45" s="71">
        <f>SUM((BI45/BI12)*100)</f>
        <v/>
      </c>
    </row>
    <row r="46" ht="21" customHeight="1" s="55">
      <c r="A46" s="73" t="n">
        <v>34</v>
      </c>
      <c r="B46" s="74" t="n">
        <v>2410047</v>
      </c>
      <c r="C46" s="75" t="n">
        <v>3122245002100</v>
      </c>
      <c r="D46" s="76" t="inlineStr">
        <is>
          <t>Shashank V</t>
        </is>
      </c>
      <c r="E46" s="76" t="inlineStr">
        <is>
          <t>shashank2410047@ssn.edu.in</t>
        </is>
      </c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>
        <f>COUNTIF(F46:BH46,"P")</f>
        <v/>
      </c>
      <c r="BJ46" s="71">
        <f>SUM((BI46/BI12)*100)</f>
        <v/>
      </c>
    </row>
    <row r="47" ht="21" customHeight="1" s="55">
      <c r="A47" s="73" t="n">
        <v>35</v>
      </c>
      <c r="B47" s="74" t="n">
        <v>2410184</v>
      </c>
      <c r="C47" s="75" t="n">
        <v>3122245002101</v>
      </c>
      <c r="D47" s="76" t="inlineStr">
        <is>
          <t>Shree M</t>
        </is>
      </c>
      <c r="E47" s="76" t="inlineStr">
        <is>
          <t>shree2410184@ssn.edu.in</t>
        </is>
      </c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>
        <f>COUNTIF(F47:BH47,"P")</f>
        <v/>
      </c>
      <c r="BJ47" s="71">
        <f>SUM((BI47/BI13)*100)</f>
        <v/>
      </c>
    </row>
    <row r="48" ht="21" customHeight="1" s="55">
      <c r="A48" s="73" t="n">
        <v>36</v>
      </c>
      <c r="B48" s="74" t="n">
        <v>2410214</v>
      </c>
      <c r="C48" s="75" t="n">
        <v>3122245002102</v>
      </c>
      <c r="D48" s="76" t="inlineStr">
        <is>
          <t>Shrika Neeharika C</t>
        </is>
      </c>
      <c r="E48" s="76" t="inlineStr">
        <is>
          <t>shrikaneeharika2410214@ssn.edu.in</t>
        </is>
      </c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>
        <f>COUNTIF(F48:BH48,"P")</f>
        <v/>
      </c>
      <c r="BJ48" s="71">
        <f>SUM((BI48/BI12)*100)</f>
        <v/>
      </c>
    </row>
    <row r="49" ht="21" customHeight="1" s="55">
      <c r="A49" s="73" t="n">
        <v>37</v>
      </c>
      <c r="B49" s="74" t="n">
        <v>2410072</v>
      </c>
      <c r="C49" s="75" t="n">
        <v>3122245002103</v>
      </c>
      <c r="D49" s="76" t="inlineStr">
        <is>
          <t>Shrish V V S Sri Kumar Rasamsetty</t>
        </is>
      </c>
      <c r="E49" s="76" t="inlineStr">
        <is>
          <t>shrish2410072@ssn.edu.in</t>
        </is>
      </c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>
        <f>COUNTIF(F49:BH49,"P")</f>
        <v/>
      </c>
      <c r="BJ49" s="71">
        <f>SUM((BI49/BI12)*100)</f>
        <v/>
      </c>
    </row>
    <row r="50" ht="21" customHeight="1" s="55">
      <c r="A50" s="73" t="n">
        <v>38</v>
      </c>
      <c r="B50" s="74" t="n">
        <v>2410533</v>
      </c>
      <c r="C50" s="75" t="n">
        <v>3122245002104</v>
      </c>
      <c r="D50" s="76" t="inlineStr">
        <is>
          <t>Shyam T J</t>
        </is>
      </c>
      <c r="E50" s="76" t="inlineStr">
        <is>
          <t>shyam2410533@ssn.edu.in</t>
        </is>
      </c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>
        <f>COUNTIF(F50:BH50,"P")</f>
        <v/>
      </c>
      <c r="BJ50" s="71">
        <f>SUM((BI50/BI12)*100)</f>
        <v/>
      </c>
    </row>
    <row r="51" ht="21" customHeight="1" s="55">
      <c r="A51" s="73" t="n">
        <v>39</v>
      </c>
      <c r="B51" s="74" t="n">
        <v>2410457</v>
      </c>
      <c r="C51" s="75" t="n">
        <v>3122245002105</v>
      </c>
      <c r="D51" s="76" t="inlineStr">
        <is>
          <t>Siva Hari Raj S T</t>
        </is>
      </c>
      <c r="E51" s="76" t="inlineStr">
        <is>
          <t>sivahariraj2410457@ssn.edu.in</t>
        </is>
      </c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>
        <f>COUNTIF(F51:BH51,"P")</f>
        <v/>
      </c>
      <c r="BJ51" s="71">
        <f>SUM((BI51/BI12)*100)</f>
        <v/>
      </c>
    </row>
    <row r="52" ht="21" customHeight="1" s="55">
      <c r="A52" s="73" t="n">
        <v>40</v>
      </c>
      <c r="B52" s="74" t="n">
        <v>2410759</v>
      </c>
      <c r="C52" s="75" t="n">
        <v>3122245002106</v>
      </c>
      <c r="D52" s="76" t="inlineStr">
        <is>
          <t>Sivaprasanth K</t>
        </is>
      </c>
      <c r="E52" s="76" t="inlineStr">
        <is>
          <t>sivaprasanth2410759@ssn.edu.in</t>
        </is>
      </c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>
        <f>COUNTIF(F52:BH52,"P")</f>
        <v/>
      </c>
      <c r="BJ52" s="71">
        <f>SUM((BI52/BI12)*100)</f>
        <v/>
      </c>
    </row>
    <row r="53" ht="21" customHeight="1" s="55">
      <c r="A53" s="73" t="n">
        <v>41</v>
      </c>
      <c r="B53" s="74" t="n">
        <v>2410530</v>
      </c>
      <c r="C53" s="75" t="n">
        <v>3122245002107</v>
      </c>
      <c r="D53" s="76" t="inlineStr">
        <is>
          <t>Sreenath G</t>
        </is>
      </c>
      <c r="E53" s="76" t="inlineStr">
        <is>
          <t>sreenath2410530@ssn.edu.in</t>
        </is>
      </c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>
        <f>COUNTIF(F53:BH53,"P")</f>
        <v/>
      </c>
      <c r="BJ53" s="71">
        <f>SUM((BI53/BI12)*100)</f>
        <v/>
      </c>
    </row>
    <row r="54" ht="21" customHeight="1" s="55">
      <c r="A54" s="73" t="n">
        <v>42</v>
      </c>
      <c r="B54" s="74" t="n">
        <v>2410089</v>
      </c>
      <c r="C54" s="75" t="n">
        <v>3122245002108</v>
      </c>
      <c r="D54" s="76" t="inlineStr">
        <is>
          <t>Sri Subhiksha T</t>
        </is>
      </c>
      <c r="E54" s="76" t="inlineStr">
        <is>
          <t>sri2410089@ssn.edu.in</t>
        </is>
      </c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>
        <f>COUNTIF(F54:BH54,"P")</f>
        <v/>
      </c>
      <c r="BJ54" s="71">
        <f>SUM((BI54/BI12)*100)</f>
        <v/>
      </c>
    </row>
    <row r="55" ht="21" customHeight="1" s="55">
      <c r="A55" s="73" t="n">
        <v>43</v>
      </c>
      <c r="B55" s="74" t="n">
        <v>2410307</v>
      </c>
      <c r="C55" s="75" t="n">
        <v>3122245002109</v>
      </c>
      <c r="D55" s="76" t="inlineStr">
        <is>
          <t>Srimathi B</t>
        </is>
      </c>
      <c r="E55" s="76" t="inlineStr">
        <is>
          <t>srimathi2410307@ssn.edu.in</t>
        </is>
      </c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>
        <f>COUNTIF(F55:BH55,"P")</f>
        <v/>
      </c>
      <c r="BJ55" s="71">
        <f>SUM((BI55/BI12)*100)</f>
        <v/>
      </c>
    </row>
    <row r="56" ht="21" customHeight="1" s="55">
      <c r="A56" s="73" t="n">
        <v>44</v>
      </c>
      <c r="B56" s="74" t="n">
        <v>2410315</v>
      </c>
      <c r="C56" s="75" t="n">
        <v>3122245002110</v>
      </c>
      <c r="D56" s="76" t="inlineStr">
        <is>
          <t>Sriram R</t>
        </is>
      </c>
      <c r="E56" s="76" t="inlineStr">
        <is>
          <t>sriram2410315@ssn.edu.in</t>
        </is>
      </c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>
        <f>COUNTIF(F56:BH56,"P")</f>
        <v/>
      </c>
      <c r="BJ56" s="71">
        <f>SUM((BI56/BI12)*100)</f>
        <v/>
      </c>
    </row>
    <row r="57" ht="21" customHeight="1" s="55">
      <c r="A57" s="73" t="n">
        <v>45</v>
      </c>
      <c r="B57" s="74" t="n">
        <v>2410777</v>
      </c>
      <c r="C57" s="75" t="n">
        <v>3122245002111</v>
      </c>
      <c r="D57" s="76" t="inlineStr">
        <is>
          <t>Srivarshan S</t>
        </is>
      </c>
      <c r="E57" s="76" t="inlineStr">
        <is>
          <t>srivarshan2410777@ssn.edu.in</t>
        </is>
      </c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1" t="n"/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>
        <f>COUNTIF(F57:BH57,"P")</f>
        <v/>
      </c>
      <c r="BJ57" s="71">
        <f>SUM((BI57/BI12)*100)</f>
        <v/>
      </c>
    </row>
    <row r="58" ht="21" customHeight="1" s="55">
      <c r="A58" s="73" t="n">
        <v>46</v>
      </c>
      <c r="B58" s="74" t="n">
        <v>2410345</v>
      </c>
      <c r="C58" s="75" t="n">
        <v>3122245002112</v>
      </c>
      <c r="D58" s="76" t="inlineStr">
        <is>
          <t>Srivathsan G</t>
        </is>
      </c>
      <c r="E58" s="76" t="inlineStr">
        <is>
          <t>srivathsan2410345@ssn.edu.in</t>
        </is>
      </c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1" t="n"/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>
        <f>COUNTIF(F58:BH58,"P")</f>
        <v/>
      </c>
      <c r="BJ58" s="71">
        <f>SUM((BI58/BI12)*100)</f>
        <v/>
      </c>
    </row>
    <row r="59" ht="21" customHeight="1" s="55">
      <c r="A59" s="73" t="n">
        <v>47</v>
      </c>
      <c r="B59" s="74" t="n">
        <v>2410867</v>
      </c>
      <c r="C59" s="75" t="n">
        <v>3122245002113</v>
      </c>
      <c r="D59" s="76" t="inlineStr">
        <is>
          <t>Sudharsan S</t>
        </is>
      </c>
      <c r="E59" s="76" t="inlineStr">
        <is>
          <t>sudharsan2410867@ssn.edu.in</t>
        </is>
      </c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1" t="n"/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>
        <f>COUNTIF(F59:BH59,"P")</f>
        <v/>
      </c>
      <c r="BJ59" s="71">
        <f>SUM((BI59/BI12)*100)</f>
        <v/>
      </c>
    </row>
    <row r="60" ht="21" customHeight="1" s="55">
      <c r="A60" s="73" t="n">
        <v>48</v>
      </c>
      <c r="B60" s="74" t="n">
        <v>2410309</v>
      </c>
      <c r="C60" s="75" t="n">
        <v>3122245002114</v>
      </c>
      <c r="D60" s="76" t="inlineStr">
        <is>
          <t>Sunitha Adluru</t>
        </is>
      </c>
      <c r="E60" s="76" t="inlineStr">
        <is>
          <t>sunitha2410309@ssn.edu.in</t>
        </is>
      </c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>
        <f>COUNTIF(F60:BH60,"P")</f>
        <v/>
      </c>
      <c r="BJ60" s="71">
        <f>SUM((BI60/BI12)*100)</f>
        <v/>
      </c>
    </row>
    <row r="61" ht="21" customHeight="1" s="55">
      <c r="A61" s="73" t="n">
        <v>49</v>
      </c>
      <c r="B61" s="74" t="n">
        <v>2410404</v>
      </c>
      <c r="C61" s="75" t="n">
        <v>3122245002115</v>
      </c>
      <c r="D61" s="76" t="inlineStr">
        <is>
          <t>Supritha R</t>
        </is>
      </c>
      <c r="E61" s="76" t="inlineStr">
        <is>
          <t>supritha2410404@ssn.edu.in</t>
        </is>
      </c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1" t="n"/>
      <c r="AE61" s="71" t="n"/>
      <c r="AF61" s="71" t="n"/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1" t="n"/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>
        <f>COUNTIF(F61:BH61,"P")</f>
        <v/>
      </c>
      <c r="BJ61" s="71">
        <f>SUM((BI61/BI12)*100)</f>
        <v/>
      </c>
    </row>
    <row r="62" ht="21" customHeight="1" s="55">
      <c r="A62" s="73" t="n">
        <v>50</v>
      </c>
      <c r="B62" s="74" t="n">
        <v>2410239</v>
      </c>
      <c r="C62" s="75" t="n">
        <v>3122245002116</v>
      </c>
      <c r="D62" s="76" t="inlineStr">
        <is>
          <t>Sweta Sri P</t>
        </is>
      </c>
      <c r="E62" s="76" t="inlineStr">
        <is>
          <t>swetasri2410239@ssn.edu.in</t>
        </is>
      </c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1" t="n"/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>
        <f>COUNTIF(F62:BH62,"P")</f>
        <v/>
      </c>
      <c r="BJ62" s="71">
        <f>SUM((BI62/BI12)*100)</f>
        <v/>
      </c>
    </row>
    <row r="63" ht="21" customHeight="1" s="55">
      <c r="A63" s="73" t="n">
        <v>51</v>
      </c>
      <c r="B63" s="74" t="n">
        <v>2410247</v>
      </c>
      <c r="C63" s="75" t="n">
        <v>3122245002117</v>
      </c>
      <c r="D63" s="76" t="inlineStr">
        <is>
          <t>Tejaswin Bhola</t>
        </is>
      </c>
      <c r="E63" s="76" t="inlineStr">
        <is>
          <t>tejaswin2410247@ssn.edu.in</t>
        </is>
      </c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>
        <f>COUNTIF(F63:BH63,"P")</f>
        <v/>
      </c>
      <c r="BJ63" s="71">
        <f>SUM((BI63/BI12)*100)</f>
        <v/>
      </c>
    </row>
    <row r="64" ht="21" customHeight="1" s="55">
      <c r="A64" s="73" t="n">
        <v>52</v>
      </c>
      <c r="B64" s="74" t="n">
        <v>2410699</v>
      </c>
      <c r="C64" s="75" t="n">
        <v>3122245002118</v>
      </c>
      <c r="D64" s="76" t="inlineStr">
        <is>
          <t>Thamizhini R</t>
        </is>
      </c>
      <c r="E64" s="76" t="inlineStr">
        <is>
          <t>thamizhini2410699@ssn.edu.in</t>
        </is>
      </c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>
        <f>COUNTIF(F64:BH64,"P")</f>
        <v/>
      </c>
      <c r="BJ64" s="71">
        <f>SUM((BI64/BI12)*100)</f>
        <v/>
      </c>
    </row>
    <row r="65" ht="21" customHeight="1" s="55">
      <c r="A65" s="73" t="n">
        <v>53</v>
      </c>
      <c r="B65" s="74" t="n">
        <v>2410405</v>
      </c>
      <c r="C65" s="75" t="n">
        <v>3122245002119</v>
      </c>
      <c r="D65" s="76" t="inlineStr">
        <is>
          <t>Tharun Balaji M</t>
        </is>
      </c>
      <c r="E65" s="76" t="inlineStr">
        <is>
          <t>tharunbalaji2410405@ssn.edu.in</t>
        </is>
      </c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1" t="n"/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>
        <f>COUNTIF(F65:BH65,"P")</f>
        <v/>
      </c>
      <c r="BJ65" s="71">
        <f>SUM((BI65/BI12)*100)</f>
        <v/>
      </c>
    </row>
    <row r="66" ht="21" customHeight="1" s="55">
      <c r="A66" s="73" t="n">
        <v>54</v>
      </c>
      <c r="B66" s="74" t="n">
        <v>2410785</v>
      </c>
      <c r="C66" s="75" t="n">
        <v>3122245002120</v>
      </c>
      <c r="D66" s="76" t="inlineStr">
        <is>
          <t>Thavasi M</t>
        </is>
      </c>
      <c r="E66" s="76" t="inlineStr">
        <is>
          <t>thavasi2410785@ssn.edu.in</t>
        </is>
      </c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1" t="n"/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>
        <f>COUNTIF(F66:BH66,"P")</f>
        <v/>
      </c>
      <c r="BJ66" s="71">
        <f>SUM((BI66/BI12)*100)</f>
        <v/>
      </c>
    </row>
    <row r="67" ht="21" customHeight="1" s="55">
      <c r="A67" s="73" t="n">
        <v>55</v>
      </c>
      <c r="B67" s="74" t="n">
        <v>2410584</v>
      </c>
      <c r="C67" s="75" t="n">
        <v>3122245002121</v>
      </c>
      <c r="D67" s="76" t="inlineStr">
        <is>
          <t>Thirukkumaran V M</t>
        </is>
      </c>
      <c r="E67" s="76" t="inlineStr">
        <is>
          <t>thirukkumaran2410584@ssn.edu.in</t>
        </is>
      </c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1" t="n"/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>
        <f>COUNTIF(F67:BH67,"P")</f>
        <v/>
      </c>
      <c r="BJ67" s="71">
        <f>SUM((BI67/BI12)*100)</f>
        <v/>
      </c>
    </row>
    <row r="68" ht="21" customHeight="1" s="55">
      <c r="A68" s="73" t="n">
        <v>56</v>
      </c>
      <c r="B68" s="74" t="n">
        <v>2410413</v>
      </c>
      <c r="C68" s="75" t="n">
        <v>3122245002122</v>
      </c>
      <c r="D68" s="76" t="inlineStr">
        <is>
          <t>Varsha M</t>
        </is>
      </c>
      <c r="E68" s="76" t="inlineStr">
        <is>
          <t>varsha2410413@ssn.edu.in</t>
        </is>
      </c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1" t="n"/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>
        <f>COUNTIF(F68:BH68,"P")</f>
        <v/>
      </c>
      <c r="BJ68" s="71">
        <f>SUM((BI68/BI12)*100)</f>
        <v/>
      </c>
    </row>
    <row r="69" ht="21" customHeight="1" s="55">
      <c r="A69" s="73" t="n">
        <v>57</v>
      </c>
      <c r="B69" s="74" t="n">
        <v>2410848</v>
      </c>
      <c r="C69" s="75" t="n">
        <v>3122245002123</v>
      </c>
      <c r="D69" s="76" t="inlineStr">
        <is>
          <t>Varsha S</t>
        </is>
      </c>
      <c r="E69" s="76" t="inlineStr">
        <is>
          <t>varsha2410848@ssn.edu.in</t>
        </is>
      </c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1" t="n"/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>
        <f>COUNTIF(F69:BH69,"P")</f>
        <v/>
      </c>
      <c r="BJ69" s="71">
        <f>SUM((BI69/BI12)*100)</f>
        <v/>
      </c>
    </row>
    <row r="70" ht="21" customHeight="1" s="55">
      <c r="A70" s="73" t="n">
        <v>58</v>
      </c>
      <c r="B70" s="74" t="n">
        <v>2410804</v>
      </c>
      <c r="C70" s="75" t="n">
        <v>3122245002124</v>
      </c>
      <c r="D70" s="76" t="inlineStr">
        <is>
          <t>Vijai T</t>
        </is>
      </c>
      <c r="E70" s="76" t="inlineStr">
        <is>
          <t>vijai2410804@ssn.edu.in</t>
        </is>
      </c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  <c r="AJ70" s="71" t="n"/>
      <c r="AK70" s="71" t="n"/>
      <c r="AL70" s="71" t="n"/>
      <c r="AM70" s="71" t="n"/>
      <c r="AN70" s="71" t="n"/>
      <c r="AO70" s="71" t="n"/>
      <c r="AP70" s="71" t="n"/>
      <c r="AQ70" s="71" t="n"/>
      <c r="AR70" s="71" t="n"/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>
        <f>COUNTIF(F70:BH70,"P")</f>
        <v/>
      </c>
      <c r="BJ70" s="71">
        <f>SUM((BI70/BI12)*100)</f>
        <v/>
      </c>
    </row>
    <row r="71" ht="21" customHeight="1" s="55">
      <c r="A71" s="73" t="n">
        <v>59</v>
      </c>
      <c r="B71" s="74" t="n">
        <v>2410586</v>
      </c>
      <c r="C71" s="75" t="n">
        <v>3122245002125</v>
      </c>
      <c r="D71" s="76" t="inlineStr">
        <is>
          <t>Vimal Raj M</t>
        </is>
      </c>
      <c r="E71" s="76" t="inlineStr">
        <is>
          <t>vimalraj2410586@ssn.edu.in</t>
        </is>
      </c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>
        <f>COUNTIF(F71:BH71,"P")</f>
        <v/>
      </c>
      <c r="BJ71" s="71">
        <f>SUM((BI71/BI12)*100)</f>
        <v/>
      </c>
    </row>
    <row r="72" ht="21" customHeight="1" s="55">
      <c r="A72" s="73" t="n">
        <v>60</v>
      </c>
      <c r="B72" s="74" t="n">
        <v>2410781</v>
      </c>
      <c r="C72" s="75" t="n">
        <v>3122245002126</v>
      </c>
      <c r="D72" s="76" t="inlineStr">
        <is>
          <t>Vinobalan K</t>
        </is>
      </c>
      <c r="E72" s="76" t="inlineStr">
        <is>
          <t>vinobalan2410781@ssn.edu.in</t>
        </is>
      </c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>
        <f>COUNTIF(F72:BH72,"P")</f>
        <v/>
      </c>
      <c r="BJ72" s="71">
        <f>SUM((BI72/BI12)*100)</f>
        <v/>
      </c>
    </row>
    <row r="73" ht="21" customHeight="1" s="55">
      <c r="A73" s="73" t="n">
        <v>61</v>
      </c>
      <c r="B73" s="74" t="n">
        <v>2410739</v>
      </c>
      <c r="C73" s="75" t="n">
        <v>3122245002127</v>
      </c>
      <c r="D73" s="76" t="inlineStr">
        <is>
          <t>Vishnu A</t>
        </is>
      </c>
      <c r="E73" s="76" t="inlineStr">
        <is>
          <t>vishnu2410739@ssn.edu.in</t>
        </is>
      </c>
      <c r="F73" s="71" t="n"/>
      <c r="G73" s="71" t="n"/>
      <c r="H73" s="71" t="n"/>
      <c r="I73" s="71" t="n"/>
      <c r="J73" s="71" t="n"/>
      <c r="K73" s="71" t="n"/>
      <c r="L73" s="71" t="n"/>
      <c r="M73" s="7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1" t="n"/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>
        <f>COUNTIF(F73:BH73,"P")</f>
        <v/>
      </c>
      <c r="BJ73" s="71">
        <f>SUM((BI73/BI12)*100)</f>
        <v/>
      </c>
    </row>
    <row r="74" ht="21" customHeight="1" s="55">
      <c r="A74" s="73" t="n">
        <v>62</v>
      </c>
      <c r="B74" s="74" t="n">
        <v>2410079</v>
      </c>
      <c r="C74" s="75" t="n">
        <v>3122245002128</v>
      </c>
      <c r="D74" s="76" t="inlineStr">
        <is>
          <t>Yasasvini Tiwari</t>
        </is>
      </c>
      <c r="E74" s="76" t="inlineStr">
        <is>
          <t>yasasvini2410079@ssn.edu.in</t>
        </is>
      </c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1" t="n"/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>
        <f>COUNTIF(F74:BH74,"P")</f>
        <v/>
      </c>
      <c r="BJ74" s="71">
        <f>SUM((BI74/BI12)*100)</f>
        <v/>
      </c>
    </row>
    <row r="75" ht="21" customHeight="1" s="55">
      <c r="A75" s="73" t="n">
        <v>63</v>
      </c>
      <c r="B75" s="74" t="n">
        <v>2410480</v>
      </c>
      <c r="C75" s="75" t="n">
        <v>3122245002129</v>
      </c>
      <c r="D75" s="76" t="inlineStr">
        <is>
          <t>Yashwanth B</t>
        </is>
      </c>
      <c r="E75" s="76" t="inlineStr">
        <is>
          <t>yashwanth2410480@ssn.edu.in</t>
        </is>
      </c>
      <c r="F75" s="71" t="n"/>
      <c r="G75" s="71" t="n"/>
      <c r="H75" s="71" t="n"/>
      <c r="I75" s="71" t="n"/>
      <c r="J75" s="71" t="n"/>
      <c r="K75" s="71" t="n"/>
      <c r="L75" s="71" t="n"/>
      <c r="M75" s="7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1" t="n"/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>
        <f>COUNTIF(F75:BH75,"P")</f>
        <v/>
      </c>
      <c r="BJ75" s="71">
        <f>SUM((BI75/BI12)*100)</f>
        <v/>
      </c>
    </row>
    <row r="76" ht="21" customHeight="1" s="55">
      <c r="A76" s="73" t="n">
        <v>64</v>
      </c>
      <c r="B76" s="74" t="n">
        <v>2410433</v>
      </c>
      <c r="C76" s="75" t="n">
        <v>3122245002130</v>
      </c>
      <c r="D76" s="76" t="inlineStr">
        <is>
          <t>Yashwanth R</t>
        </is>
      </c>
      <c r="E76" s="76" t="inlineStr">
        <is>
          <t>yashwanth2410433@ssn.edu.in</t>
        </is>
      </c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1" t="n"/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>
        <f>COUNTIF(F76:BH76,"P")</f>
        <v/>
      </c>
      <c r="BJ76" s="71">
        <f>SUM((BI76/BI12)*100)</f>
        <v/>
      </c>
    </row>
    <row r="77" ht="21" customHeight="1" s="55">
      <c r="A77" s="73" t="n">
        <v>65</v>
      </c>
      <c r="B77" s="74" t="n">
        <v>2410096</v>
      </c>
      <c r="C77" s="75" t="n">
        <v>3122245002131</v>
      </c>
      <c r="D77" s="76" t="inlineStr">
        <is>
          <t>Yasmithasri B</t>
        </is>
      </c>
      <c r="E77" s="76" t="inlineStr">
        <is>
          <t>yasmithasri2410096@ssn.edu.in</t>
        </is>
      </c>
      <c r="F77" s="71" t="n"/>
      <c r="G77" s="71" t="n"/>
      <c r="H77" s="71" t="n"/>
      <c r="I77" s="71" t="n"/>
      <c r="J77" s="71" t="n"/>
      <c r="K77" s="71" t="n"/>
      <c r="L77" s="71" t="n"/>
      <c r="M77" s="7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1" t="n"/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>
        <f>COUNTIF(F77:BH77,"P")</f>
        <v/>
      </c>
      <c r="BJ77" s="71">
        <f>SUM((BI77/BI12)*100)</f>
        <v/>
      </c>
    </row>
    <row r="78" ht="21" customHeight="1" s="55">
      <c r="A78" s="73" t="n">
        <v>66</v>
      </c>
      <c r="B78" s="74" t="n">
        <v>2410990</v>
      </c>
      <c r="C78" s="75" t="n">
        <v>3122245002132</v>
      </c>
      <c r="D78" s="76" t="inlineStr">
        <is>
          <t>Yuvanitha A R</t>
        </is>
      </c>
      <c r="E78" s="76" t="inlineStr">
        <is>
          <t>yuvanitha2410990@ssn.edu.in</t>
        </is>
      </c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1" t="n"/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>
        <f>COUNTIF(F78:BH78,"P")</f>
        <v/>
      </c>
      <c r="BJ78" s="71">
        <f>SUM((BI78/BI12)*100)</f>
        <v/>
      </c>
    </row>
    <row r="79" ht="21" customHeight="1" s="55">
      <c r="A79" s="73" t="n">
        <v>67</v>
      </c>
      <c r="B79" s="74" t="n">
        <v>2412049</v>
      </c>
      <c r="C79" s="75" t="n">
        <v>3122245002304</v>
      </c>
      <c r="D79" s="76" t="inlineStr">
        <is>
          <t>Darshan S S</t>
        </is>
      </c>
      <c r="E79" s="76" t="inlineStr">
        <is>
          <t>darshan2412049@ssn.edu.in</t>
        </is>
      </c>
      <c r="F79" s="71" t="n"/>
      <c r="G79" s="71" t="n"/>
      <c r="H79" s="71" t="n"/>
      <c r="I79" s="71" t="n"/>
      <c r="J79" s="71" t="n"/>
      <c r="K79" s="71" t="n"/>
      <c r="L79" s="71" t="n"/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  <c r="Z79" s="71" t="n"/>
      <c r="AA79" s="71" t="n"/>
      <c r="AB79" s="71" t="n"/>
      <c r="AC79" s="7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>
        <f>COUNTIF(F79:BH79,"P")</f>
        <v/>
      </c>
      <c r="BJ79" s="71">
        <f>SUM((BI79/BI12)*100)</f>
        <v/>
      </c>
    </row>
    <row r="80" ht="21" customHeight="1" s="55">
      <c r="A80" s="73" t="n">
        <v>68</v>
      </c>
      <c r="B80" s="74" t="n">
        <v>2412046</v>
      </c>
      <c r="C80" s="75" t="n">
        <v>3122245002307</v>
      </c>
      <c r="D80" s="76" t="inlineStr">
        <is>
          <t>Manojkumar G</t>
        </is>
      </c>
      <c r="E80" s="76" t="inlineStr">
        <is>
          <t>manojkumar2412046@ssn.edu.in</t>
        </is>
      </c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>
        <f>COUNTIF(F80:BH80,"P")</f>
        <v/>
      </c>
      <c r="BJ80" s="71">
        <f>SUM((BI80/BI12)*100)</f>
        <v/>
      </c>
    </row>
    <row r="81" ht="21" customHeight="1" s="55">
      <c r="A81" s="73" t="n">
        <v>69</v>
      </c>
      <c r="B81" s="74" t="n">
        <v>2412010</v>
      </c>
      <c r="C81" s="75" t="n">
        <v>3122245002308</v>
      </c>
      <c r="D81" s="76" t="inlineStr">
        <is>
          <t>Rhea Jenifer P</t>
        </is>
      </c>
      <c r="E81" s="76" t="inlineStr">
        <is>
          <t>rheajenifer2412010@ssn.edu.in</t>
        </is>
      </c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8" t="n"/>
      <c r="AB81" s="88" t="n"/>
      <c r="AC81" s="88" t="n"/>
      <c r="AD81" s="88" t="n"/>
      <c r="AE81" s="88" t="n"/>
      <c r="AF81" s="88" t="n"/>
      <c r="AG81" s="88" t="n"/>
      <c r="AH81" s="88" t="n"/>
      <c r="AI81" s="88" t="n"/>
      <c r="AJ81" s="88" t="n"/>
      <c r="AK81" s="88" t="n"/>
      <c r="AL81" s="88" t="n"/>
      <c r="AM81" s="88" t="n"/>
      <c r="AN81" s="88" t="n"/>
      <c r="AO81" s="88" t="n"/>
      <c r="AP81" s="88" t="n"/>
      <c r="AQ81" s="88" t="n"/>
      <c r="AR81" s="88" t="n"/>
      <c r="AS81" s="88" t="n"/>
      <c r="AT81" s="88" t="n"/>
      <c r="AU81" s="88" t="n"/>
      <c r="AV81" s="88" t="n"/>
      <c r="AW81" s="88" t="n"/>
      <c r="AX81" s="88" t="n"/>
      <c r="AY81" s="88" t="n"/>
      <c r="AZ81" s="88" t="n"/>
      <c r="BA81" s="88" t="n"/>
      <c r="BB81" s="88" t="n"/>
      <c r="BC81" s="88" t="n"/>
      <c r="BD81" s="88" t="n"/>
      <c r="BE81" s="88" t="n"/>
      <c r="BF81" s="88" t="n"/>
      <c r="BG81" s="88" t="n"/>
      <c r="BH81" s="88" t="n"/>
      <c r="BI81" s="88">
        <f>COUNTIF(F81:BH81,"P")</f>
        <v/>
      </c>
      <c r="BJ81" s="88">
        <f>SUM((BI81/BI12)*100)</f>
        <v/>
      </c>
    </row>
    <row r="82" ht="21" customHeight="1" s="55">
      <c r="A82" s="73" t="n">
        <v>70</v>
      </c>
      <c r="B82" s="74" t="n">
        <v>2412073</v>
      </c>
      <c r="C82" s="75" t="n">
        <v>3122245002309</v>
      </c>
      <c r="D82" s="76" t="inlineStr">
        <is>
          <t>Sadhika T S</t>
        </is>
      </c>
      <c r="E82" s="76" t="inlineStr">
        <is>
          <t>sadhika2412073@ssn.edu.in</t>
        </is>
      </c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1" t="n"/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>
        <f>COUNTIF(F82:BH82,"P")</f>
        <v/>
      </c>
      <c r="BJ82" s="71">
        <f>SUM((BI82/BI12)*100)</f>
        <v/>
      </c>
    </row>
    <row r="83" ht="21" customHeight="1" s="55">
      <c r="A83" s="73" t="n">
        <v>71</v>
      </c>
      <c r="B83" s="74" t="n">
        <v>2412001</v>
      </c>
      <c r="C83" s="75" t="n">
        <v>3122245002310</v>
      </c>
      <c r="D83" s="76" t="inlineStr">
        <is>
          <t>Sundararajan R</t>
        </is>
      </c>
      <c r="E83" s="76" t="inlineStr">
        <is>
          <t>sundararajan2412001@ssn.edu.in</t>
        </is>
      </c>
      <c r="F83" s="71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1" t="n"/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  <c r="BJ83" s="71" t="n"/>
    </row>
    <row r="84" ht="12.75" customHeight="1" s="55">
      <c r="B84" s="77" t="n"/>
      <c r="C84" s="77" t="n"/>
    </row>
    <row r="85" ht="12.75" customHeight="1" s="55">
      <c r="B85" s="77" t="n"/>
      <c r="C85" s="77" t="n"/>
    </row>
    <row r="86" ht="12.75" customHeight="1" s="55">
      <c r="B86" s="77" t="n"/>
      <c r="C86" s="77" t="n"/>
    </row>
    <row r="87" ht="12.75" customHeight="1" s="55">
      <c r="B87" s="77" t="n"/>
      <c r="C87" s="77" t="n"/>
    </row>
    <row r="88" ht="12.75" customHeight="1" s="55">
      <c r="B88" s="77" t="n"/>
      <c r="C88" s="77" t="n"/>
    </row>
    <row r="89" ht="12.75" customHeight="1" s="55">
      <c r="B89" s="77" t="n"/>
      <c r="C89" s="77" t="n"/>
    </row>
    <row r="90" ht="12.75" customHeight="1" s="55">
      <c r="B90" s="77" t="n"/>
      <c r="C90" s="77" t="n"/>
    </row>
    <row r="91" ht="39" customHeight="1" s="55">
      <c r="B91" s="77" t="n"/>
      <c r="C91" s="77" t="n"/>
      <c r="E91" s="71" t="inlineStr">
        <is>
          <t>Total No. of Students</t>
        </is>
      </c>
      <c r="F91" s="71" t="n">
        <v>71</v>
      </c>
      <c r="G91" s="71" t="n"/>
      <c r="H91" s="71" t="n"/>
      <c r="I91" s="71" t="n"/>
      <c r="J91" s="71" t="n"/>
      <c r="K91" s="71" t="n"/>
      <c r="L91" s="71" t="n"/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</row>
    <row r="92" ht="39" customHeight="1" s="55">
      <c r="B92" s="77" t="n"/>
      <c r="C92" s="77" t="n"/>
      <c r="E92" s="71" t="inlineStr">
        <is>
          <t>Total No. of Presentees</t>
        </is>
      </c>
      <c r="F92" s="71">
        <f>COUNTIF(F13:F82,"P")</f>
        <v/>
      </c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</row>
    <row r="93" ht="39" customHeight="1" s="55">
      <c r="B93" s="77" t="n"/>
      <c r="C93" s="77" t="n"/>
      <c r="E93" s="71" t="inlineStr">
        <is>
          <t>Total No. of Absentees</t>
        </is>
      </c>
      <c r="F93" s="71">
        <f>COUNTIF(F13:F82,"A")</f>
        <v/>
      </c>
      <c r="G93" s="71" t="n"/>
      <c r="H93" s="71" t="n"/>
      <c r="I93" s="71" t="n"/>
      <c r="J93" s="71" t="n"/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</row>
    <row r="94" ht="39" customHeight="1" s="55">
      <c r="B94" s="77" t="n"/>
      <c r="C94" s="77" t="n"/>
      <c r="E94" s="71" t="inlineStr">
        <is>
          <t>Presentees Percentage</t>
        </is>
      </c>
      <c r="F94" s="71">
        <f>SUM((F92/F91)*100)</f>
        <v/>
      </c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1" t="n"/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  <c r="BJ94" s="71" t="n"/>
    </row>
    <row r="95" ht="39" customHeight="1" s="55">
      <c r="B95" s="77" t="n"/>
      <c r="C95" s="77" t="n"/>
      <c r="E95" s="71" t="inlineStr">
        <is>
          <t>Absentees Percentage</t>
        </is>
      </c>
      <c r="F95" s="71">
        <f>SUM((F93/F91)*100)</f>
        <v/>
      </c>
      <c r="G95" s="71" t="n"/>
      <c r="H95" s="71" t="n"/>
      <c r="I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  <c r="BJ95" s="71" t="n"/>
    </row>
    <row r="96" ht="12.75" customHeight="1" s="55">
      <c r="B96" s="77" t="n"/>
      <c r="C96" s="77" t="n"/>
    </row>
    <row r="97" ht="12.75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2">
    <mergeCell ref="A7:I7"/>
    <mergeCell ref="F10:N10"/>
    <mergeCell ref="A8:D8"/>
    <mergeCell ref="A2:AX2"/>
    <mergeCell ref="B11:B12"/>
    <mergeCell ref="A1:AX1"/>
    <mergeCell ref="C11:C12"/>
    <mergeCell ref="D11:D12"/>
    <mergeCell ref="F11:BH11"/>
    <mergeCell ref="E11:E12"/>
    <mergeCell ref="A11:A12"/>
    <mergeCell ref="A3:AX3"/>
  </mergeCells>
  <conditionalFormatting sqref="B13:B83">
    <cfRule type="expression" rank="0" priority="2" equalAverage="0" aboveAverage="0" dxfId="0" text="" percent="0" bottom="0">
      <formula>AND(COUNTIF($B$10:$B$22,B13)+COUNTIF($B$24:$B$62,B13)&gt;1,NOT(ISBLANK(B13)))</formula>
    </cfRule>
  </conditionalFormatting>
  <hyperlinks>
    <hyperlink xmlns:r="http://schemas.openxmlformats.org/officeDocument/2006/relationships" ref="AU7" display="ug2024-it@ssn.edu.in 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8" customWidth="1" style="54" min="6" max="62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ATTENDANCE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  <c r="AV5" s="60" t="inlineStr">
        <is>
          <t>Batch : 2024-28</t>
        </is>
      </c>
    </row>
    <row r="6" ht="10.5" customHeight="1" s="55">
      <c r="A6" s="58" t="n"/>
      <c r="B6" s="59" t="n"/>
      <c r="C6" s="59" t="n"/>
    </row>
    <row r="7" ht="28.5" customHeight="1" s="55">
      <c r="A7" s="61" t="inlineStr">
        <is>
          <t>Sub Code &amp; Sub Name : UIT3517 - Mini Project (Software Development Project – II)</t>
        </is>
      </c>
      <c r="AU7" s="62" t="inlineStr">
        <is>
          <t xml:space="preserve">ug2024-it@ssn.edu.in </t>
        </is>
      </c>
    </row>
    <row r="8" ht="50.25" customHeight="1" s="55">
      <c r="A8" s="93" t="inlineStr">
        <is>
          <t>Staff Name :Dr. A. Shahina, Dr. R. Srinivasan, Dr. S. Karthika, Dr. H. Sabireen,
Dr. Arige Sumanth, Dr. Mahabub Hasan Mahalat, Dr. Irshed Hussain</t>
        </is>
      </c>
    </row>
    <row r="9" ht="30.75" customHeight="1" s="55">
      <c r="A9" s="61" t="n"/>
      <c r="B9" s="61" t="n"/>
      <c r="C9" s="61" t="n"/>
      <c r="D9" s="61" t="n"/>
      <c r="E9" s="64" t="n"/>
    </row>
    <row r="10" ht="30.75" customHeight="1" s="55">
      <c r="A10" s="61" t="n"/>
      <c r="B10" s="61" t="n"/>
      <c r="C10" s="61" t="n"/>
      <c r="D10" s="61" t="n"/>
      <c r="E10" s="64" t="n"/>
      <c r="F10" s="65" t="inlineStr">
        <is>
          <t>Mark  "P" for presentees , "A" for absentees</t>
        </is>
      </c>
      <c r="G10" s="66" t="n"/>
      <c r="H10" s="66" t="n"/>
      <c r="I10" s="66" t="n"/>
      <c r="J10" s="66" t="n"/>
      <c r="K10" s="66" t="n"/>
      <c r="L10" s="66" t="n"/>
      <c r="M10" s="66" t="n"/>
      <c r="N10" s="66" t="n"/>
    </row>
    <row r="11" ht="31.5" customHeight="1" s="55">
      <c r="A11" s="67" t="inlineStr">
        <is>
          <t>S.No</t>
        </is>
      </c>
      <c r="B11" s="67" t="inlineStr">
        <is>
          <t>Digital Id</t>
        </is>
      </c>
      <c r="C11" s="67" t="inlineStr">
        <is>
          <t>Register Number</t>
        </is>
      </c>
      <c r="D11" s="67" t="inlineStr">
        <is>
          <t>Name as per 12th Mark Sheet</t>
        </is>
      </c>
      <c r="E11" s="67" t="inlineStr">
        <is>
          <t>SSN Email ID</t>
        </is>
      </c>
      <c r="F11" s="68" t="inlineStr">
        <is>
          <t>Date</t>
        </is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69" t="n"/>
      <c r="AT11" s="69" t="n"/>
      <c r="AU11" s="69" t="n"/>
      <c r="AV11" s="69" t="n"/>
      <c r="AW11" s="69" t="n"/>
      <c r="AX11" s="69" t="n"/>
      <c r="AY11" s="69" t="n"/>
      <c r="AZ11" s="69" t="n"/>
      <c r="BA11" s="69" t="n"/>
      <c r="BB11" s="69" t="n"/>
      <c r="BC11" s="69" t="n"/>
      <c r="BD11" s="69" t="n"/>
      <c r="BE11" s="69" t="n"/>
      <c r="BF11" s="69" t="n"/>
      <c r="BG11" s="69" t="n"/>
      <c r="BH11" s="70" t="n"/>
      <c r="BI11" s="71" t="n"/>
      <c r="BJ11" s="71" t="n"/>
    </row>
    <row r="12" ht="21" customHeight="1" s="55">
      <c r="A12" s="72" t="n"/>
      <c r="B12" s="72" t="n"/>
      <c r="C12" s="72" t="n"/>
      <c r="D12" s="72" t="n"/>
      <c r="E12" s="72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>
        <f>COUNTA(F12:BH12)</f>
        <v/>
      </c>
      <c r="BJ12" s="71" t="n"/>
    </row>
    <row r="13" ht="21" customHeight="1" s="55">
      <c r="A13" s="73" t="n">
        <v>1</v>
      </c>
      <c r="B13" s="74" t="n">
        <v>2410606</v>
      </c>
      <c r="C13" s="75" t="n">
        <v>3122245002067</v>
      </c>
      <c r="D13" s="76" t="inlineStr">
        <is>
          <t>Pragalya T</t>
        </is>
      </c>
      <c r="E13" s="76" t="inlineStr">
        <is>
          <t>pragalya2410606@ssn.edu.in</t>
        </is>
      </c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1" t="n"/>
      <c r="BF13" s="71" t="n"/>
      <c r="BG13" s="71" t="n"/>
      <c r="BH13" s="71" t="n"/>
      <c r="BI13" s="71">
        <f>COUNTIF(F13:BH13,"P")</f>
        <v/>
      </c>
      <c r="BJ13" s="71">
        <f>SUM((BI13/BI12)*100)</f>
        <v/>
      </c>
    </row>
    <row r="14" ht="21" customHeight="1" s="55">
      <c r="A14" s="73" t="n">
        <v>2</v>
      </c>
      <c r="B14" s="74" t="n">
        <v>2410674</v>
      </c>
      <c r="C14" s="75" t="n">
        <v>3122245002068</v>
      </c>
      <c r="D14" s="76" t="inlineStr">
        <is>
          <t>Praghathish G T</t>
        </is>
      </c>
      <c r="E14" s="76" t="inlineStr">
        <is>
          <t>praghathish2410674@ssn.edu.in</t>
        </is>
      </c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1" t="n"/>
      <c r="BF14" s="71" t="n"/>
      <c r="BG14" s="71" t="n"/>
      <c r="BH14" s="71" t="n"/>
      <c r="BI14" s="71">
        <f>COUNTIF(F14:BH14,"P")</f>
        <v/>
      </c>
      <c r="BJ14" s="71">
        <f>SUM((BI14/BI12)*100)</f>
        <v/>
      </c>
    </row>
    <row r="15" ht="21" customHeight="1" s="55">
      <c r="A15" s="73" t="n">
        <v>3</v>
      </c>
      <c r="B15" s="74" t="n">
        <v>2410080</v>
      </c>
      <c r="C15" s="75" t="n">
        <v>3122245002069</v>
      </c>
      <c r="D15" s="76" t="inlineStr">
        <is>
          <t>Pranav C K</t>
        </is>
      </c>
      <c r="E15" s="76" t="inlineStr">
        <is>
          <t>pranav2410080@ssn.edu.in</t>
        </is>
      </c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1" t="n"/>
      <c r="AO15" s="71" t="n"/>
      <c r="AP15" s="71" t="n"/>
      <c r="AQ15" s="71" t="n"/>
      <c r="AR15" s="71" t="n"/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1" t="n"/>
      <c r="BF15" s="71" t="n"/>
      <c r="BG15" s="71" t="n"/>
      <c r="BH15" s="71" t="n"/>
      <c r="BI15" s="71">
        <f>COUNTIF(F15:BH15,"P")</f>
        <v/>
      </c>
      <c r="BJ15" s="71">
        <f>SUM((BI15/BI12)*100)</f>
        <v/>
      </c>
    </row>
    <row r="16" ht="21" customHeight="1" s="55">
      <c r="A16" s="73" t="n">
        <v>4</v>
      </c>
      <c r="B16" s="74" t="n">
        <v>2410328</v>
      </c>
      <c r="C16" s="75" t="n">
        <v>3122245002070</v>
      </c>
      <c r="D16" s="76" t="inlineStr">
        <is>
          <t>Pranav Vasudevan</t>
        </is>
      </c>
      <c r="E16" s="76" t="inlineStr">
        <is>
          <t>pranav2410328@ssn.edu.in</t>
        </is>
      </c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1" t="n"/>
      <c r="BF16" s="71" t="n"/>
      <c r="BG16" s="71" t="n"/>
      <c r="BH16" s="71" t="n"/>
      <c r="BI16" s="71">
        <f>COUNTIF(F16:BH16,"P")</f>
        <v/>
      </c>
      <c r="BJ16" s="71">
        <f>SUM((BI16/BI12)*100)</f>
        <v/>
      </c>
    </row>
    <row r="17" ht="21" customHeight="1" s="55">
      <c r="A17" s="73" t="n">
        <v>5</v>
      </c>
      <c r="B17" s="74" t="n">
        <v>2410738</v>
      </c>
      <c r="C17" s="75" t="n">
        <v>3122245002071</v>
      </c>
      <c r="D17" s="76" t="inlineStr">
        <is>
          <t>Radhakrishnan M</t>
        </is>
      </c>
      <c r="E17" s="76" t="inlineStr">
        <is>
          <t>radhakrishnan2410738@ssn.edu.in</t>
        </is>
      </c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1" t="n"/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1" t="n"/>
      <c r="BF17" s="71" t="n"/>
      <c r="BG17" s="71" t="n"/>
      <c r="BH17" s="71" t="n"/>
      <c r="BI17" s="71">
        <f>COUNTIF(F17:BH17,"P")</f>
        <v/>
      </c>
      <c r="BJ17" s="71">
        <f>SUM((BI17/BI12)*100)</f>
        <v/>
      </c>
    </row>
    <row r="18" ht="21" customHeight="1" s="55">
      <c r="A18" s="73" t="n">
        <v>6</v>
      </c>
      <c r="B18" s="74" t="n">
        <v>2410786</v>
      </c>
      <c r="C18" s="75" t="n">
        <v>3122245002072</v>
      </c>
      <c r="D18" s="76" t="inlineStr">
        <is>
          <t>Raghul Krishna V</t>
        </is>
      </c>
      <c r="E18" s="76" t="inlineStr">
        <is>
          <t>raghulkrishna2410786@ssn.edu.in</t>
        </is>
      </c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1" t="n"/>
      <c r="BF18" s="71" t="n"/>
      <c r="BG18" s="71" t="n"/>
      <c r="BH18" s="71" t="n"/>
      <c r="BI18" s="71">
        <f>COUNTIF(F18:BH18,"P")</f>
        <v/>
      </c>
      <c r="BJ18" s="71">
        <f>SUM((BI18/BI12)*100)</f>
        <v/>
      </c>
    </row>
    <row r="19" ht="21" customHeight="1" s="55">
      <c r="A19" s="73" t="n">
        <v>7</v>
      </c>
      <c r="B19" s="74" t="n">
        <v>2410441</v>
      </c>
      <c r="C19" s="75" t="n">
        <v>3122245002073</v>
      </c>
      <c r="D19" s="76" t="inlineStr">
        <is>
          <t>Ragul A</t>
        </is>
      </c>
      <c r="E19" s="76" t="inlineStr">
        <is>
          <t>ragul2410441@ssn.edu.in</t>
        </is>
      </c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1" t="n"/>
      <c r="BF19" s="71" t="n"/>
      <c r="BG19" s="71" t="n"/>
      <c r="BH19" s="71" t="n"/>
      <c r="BI19" s="71">
        <f>COUNTIF(F19:BH19,"P")</f>
        <v/>
      </c>
      <c r="BJ19" s="71">
        <f>SUM((BI19/BI12)*100)</f>
        <v/>
      </c>
    </row>
    <row r="20" ht="21" customHeight="1" s="55">
      <c r="A20" s="73" t="n">
        <v>8</v>
      </c>
      <c r="B20" s="74" t="n">
        <v>2410834</v>
      </c>
      <c r="C20" s="75" t="n">
        <v>3122245002074</v>
      </c>
      <c r="D20" s="76" t="inlineStr">
        <is>
          <t>Ragunandhan M</t>
        </is>
      </c>
      <c r="E20" s="76" t="inlineStr">
        <is>
          <t>ragunandhan2410834@ssn.edu.in</t>
        </is>
      </c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1" t="n"/>
      <c r="AE20" s="71" t="n"/>
      <c r="AF20" s="71" t="n"/>
      <c r="AG20" s="71" t="n"/>
      <c r="AH20" s="71" t="n"/>
      <c r="AI20" s="71" t="n"/>
      <c r="AJ20" s="71" t="n"/>
      <c r="AK20" s="71" t="n"/>
      <c r="AL20" s="71" t="n"/>
      <c r="AM20" s="71" t="n"/>
      <c r="AN20" s="71" t="n"/>
      <c r="AO20" s="71" t="n"/>
      <c r="AP20" s="71" t="n"/>
      <c r="AQ20" s="71" t="n"/>
      <c r="AR20" s="71" t="n"/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>
        <f>COUNTIF(F20:BH20,"P")</f>
        <v/>
      </c>
      <c r="BJ20" s="71">
        <f>SUM((BI20/BI12)*100)</f>
        <v/>
      </c>
    </row>
    <row r="21" ht="21" customHeight="1" s="55">
      <c r="A21" s="73" t="n">
        <v>9</v>
      </c>
      <c r="B21" s="74" t="n">
        <v>2410098</v>
      </c>
      <c r="C21" s="75" t="n">
        <v>3122245002075</v>
      </c>
      <c r="D21" s="76" t="inlineStr">
        <is>
          <t>Rajkumar M</t>
        </is>
      </c>
      <c r="E21" s="76" t="inlineStr">
        <is>
          <t>rajkumar2410098@ssn.edu.in</t>
        </is>
      </c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1" t="n"/>
      <c r="AE21" s="71" t="n"/>
      <c r="AF21" s="71" t="n"/>
      <c r="AG21" s="71" t="n"/>
      <c r="AH21" s="71" t="n"/>
      <c r="AI21" s="71" t="n"/>
      <c r="AJ21" s="71" t="n"/>
      <c r="AK21" s="71" t="n"/>
      <c r="AL21" s="71" t="n"/>
      <c r="AM21" s="71" t="n"/>
      <c r="AN21" s="71" t="n"/>
      <c r="AO21" s="71" t="n"/>
      <c r="AP21" s="71" t="n"/>
      <c r="AQ21" s="71" t="n"/>
      <c r="AR21" s="71" t="n"/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>
        <f>COUNTIF(F21:BH21,"P")</f>
        <v/>
      </c>
      <c r="BJ21" s="71">
        <f>SUM((BI21/BI12)*100)</f>
        <v/>
      </c>
    </row>
    <row r="22" ht="21" customHeight="1" s="55">
      <c r="A22" s="73" t="n">
        <v>10</v>
      </c>
      <c r="B22" s="74" t="n">
        <v>2410632</v>
      </c>
      <c r="C22" s="75" t="n">
        <v>3122245002076</v>
      </c>
      <c r="D22" s="76" t="inlineStr">
        <is>
          <t>Ramakrishnan M R</t>
        </is>
      </c>
      <c r="E22" s="76" t="inlineStr">
        <is>
          <t>ramakrishnan2410632@ssn.edu.in</t>
        </is>
      </c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1" t="n"/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1" t="n"/>
      <c r="BF22" s="71" t="n"/>
      <c r="BG22" s="71" t="n"/>
      <c r="BH22" s="71" t="n"/>
      <c r="BI22" s="71">
        <f>COUNTIF(F22:BH22,"P")</f>
        <v/>
      </c>
      <c r="BJ22" s="71">
        <f>SUM((BI22/BI12)*100)</f>
        <v/>
      </c>
    </row>
    <row r="23" ht="21" customHeight="1" s="55">
      <c r="A23" s="73" t="n">
        <v>11</v>
      </c>
      <c r="B23" s="74" t="n">
        <v>2410313</v>
      </c>
      <c r="C23" s="75" t="n">
        <v>3122245002077</v>
      </c>
      <c r="D23" s="76" t="inlineStr">
        <is>
          <t>Raveena V K</t>
        </is>
      </c>
      <c r="E23" s="76" t="inlineStr">
        <is>
          <t>raveena2410313@ssn.edu.in</t>
        </is>
      </c>
      <c r="F23" s="71" t="n"/>
      <c r="G23" s="71" t="n"/>
      <c r="H23" s="71" t="n"/>
      <c r="I23" s="71" t="n"/>
      <c r="J23" s="71" t="n"/>
      <c r="K23" s="71" t="n"/>
      <c r="L23" s="71" t="n"/>
      <c r="M23" s="7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1" t="n"/>
      <c r="AS23" s="71" t="n"/>
      <c r="AT23" s="71" t="n"/>
      <c r="AU23" s="71" t="n"/>
      <c r="AV23" s="71" t="n"/>
      <c r="AW23" s="71" t="n"/>
      <c r="AX23" s="71" t="n"/>
      <c r="AY23" s="71" t="n"/>
      <c r="AZ23" s="71" t="n"/>
      <c r="BA23" s="71" t="n"/>
      <c r="BB23" s="71" t="n"/>
      <c r="BC23" s="71" t="n"/>
      <c r="BD23" s="71" t="n"/>
      <c r="BE23" s="71" t="n"/>
      <c r="BF23" s="71" t="n"/>
      <c r="BG23" s="71" t="n"/>
      <c r="BH23" s="71" t="n"/>
      <c r="BI23" s="71">
        <f>COUNTIF(F23:BH23,"P")</f>
        <v/>
      </c>
      <c r="BJ23" s="71">
        <f>SUM((BI23/BI12)*100)</f>
        <v/>
      </c>
    </row>
    <row r="24" ht="21" customHeight="1" s="55">
      <c r="A24" s="73" t="n">
        <v>12</v>
      </c>
      <c r="B24" s="74" t="n">
        <v>2410581</v>
      </c>
      <c r="C24" s="75" t="n">
        <v>3122245002078</v>
      </c>
      <c r="D24" s="76" t="inlineStr">
        <is>
          <t>Ridhi R</t>
        </is>
      </c>
      <c r="E24" s="76" t="inlineStr">
        <is>
          <t>ridhi2410581@ssn.edu.in</t>
        </is>
      </c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1" t="n"/>
      <c r="AS24" s="71" t="n"/>
      <c r="AT24" s="71" t="n"/>
      <c r="AU24" s="71" t="n"/>
      <c r="AV24" s="71" t="n"/>
      <c r="AW24" s="71" t="n"/>
      <c r="AX24" s="71" t="n"/>
      <c r="AY24" s="71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>
        <f>COUNTIF(F24:BH24,"P")</f>
        <v/>
      </c>
      <c r="BJ24" s="71">
        <f>SUM((BI24/BI12)*100)</f>
        <v/>
      </c>
    </row>
    <row r="25" ht="21" customHeight="1" s="55">
      <c r="A25" s="73" t="n">
        <v>13</v>
      </c>
      <c r="B25" s="74" t="n">
        <v>2410343</v>
      </c>
      <c r="C25" s="75" t="n">
        <v>3122245002079</v>
      </c>
      <c r="D25" s="76" t="inlineStr">
        <is>
          <t>Rishikumar Pitchiah Kalyanakumar</t>
        </is>
      </c>
      <c r="E25" s="76" t="inlineStr">
        <is>
          <t>rishikumar2410343@ssn.edu.in</t>
        </is>
      </c>
      <c r="F25" s="71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1" t="n"/>
      <c r="AS25" s="71" t="n"/>
      <c r="AT25" s="71" t="n"/>
      <c r="AU25" s="71" t="n"/>
      <c r="AV25" s="71" t="n"/>
      <c r="AW25" s="71" t="n"/>
      <c r="AX25" s="71" t="n"/>
      <c r="AY25" s="71" t="n"/>
      <c r="AZ25" s="71" t="n"/>
      <c r="BA25" s="71" t="n"/>
      <c r="BB25" s="71" t="n"/>
      <c r="BC25" s="71" t="n"/>
      <c r="BD25" s="71" t="n"/>
      <c r="BE25" s="71" t="n"/>
      <c r="BF25" s="71" t="n"/>
      <c r="BG25" s="71" t="n"/>
      <c r="BH25" s="71" t="n"/>
      <c r="BI25" s="71">
        <f>COUNTIF(F25:BH25,"P")</f>
        <v/>
      </c>
      <c r="BJ25" s="71">
        <f>SUM((BI25/BI12)*100)</f>
        <v/>
      </c>
    </row>
    <row r="26" ht="21" customHeight="1" s="55">
      <c r="A26" s="73" t="n">
        <v>14</v>
      </c>
      <c r="B26" s="74" t="n">
        <v>2410308</v>
      </c>
      <c r="C26" s="75" t="n">
        <v>3122245002080</v>
      </c>
      <c r="D26" s="76" t="inlineStr">
        <is>
          <t>Rithin Asvathama V</t>
        </is>
      </c>
      <c r="E26" s="76" t="inlineStr">
        <is>
          <t>rithinasvathama2410308@ssn.edu.in</t>
        </is>
      </c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>
        <f>COUNTIF(F26:BH26,"P")</f>
        <v/>
      </c>
      <c r="BJ26" s="71">
        <f>SUM((BI26/BI12)*100)</f>
        <v/>
      </c>
    </row>
    <row r="27" ht="21" customHeight="1" s="55">
      <c r="A27" s="73" t="n">
        <v>15</v>
      </c>
      <c r="B27" s="74" t="n">
        <v>2410445</v>
      </c>
      <c r="C27" s="75" t="n">
        <v>3122245002081</v>
      </c>
      <c r="D27" s="76" t="inlineStr">
        <is>
          <t>Ritvik Kumar T</t>
        </is>
      </c>
      <c r="E27" s="76" t="inlineStr">
        <is>
          <t>ritvikkumar2410445@ssn.edu.in</t>
        </is>
      </c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>
        <f>COUNTIF(F27:BH27,"P")</f>
        <v/>
      </c>
      <c r="BJ27" s="71">
        <f>SUM((BI27/BI12)*100)</f>
        <v/>
      </c>
    </row>
    <row r="28" ht="21" customHeight="1" s="55">
      <c r="A28" s="73" t="n">
        <v>16</v>
      </c>
      <c r="B28" s="74" t="n">
        <v>2410230</v>
      </c>
      <c r="C28" s="75" t="n">
        <v>3122245002082</v>
      </c>
      <c r="D28" s="76" t="inlineStr">
        <is>
          <t>Roja Sri R</t>
        </is>
      </c>
      <c r="E28" s="76" t="inlineStr">
        <is>
          <t>rojasri2410230@ssn.edu.in</t>
        </is>
      </c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>
        <f>COUNTIF(F28:BH28,"P")</f>
        <v/>
      </c>
      <c r="BJ28" s="71">
        <f>SUM((BI28/BI12)*100)</f>
        <v/>
      </c>
    </row>
    <row r="29" ht="21" customHeight="1" s="55">
      <c r="A29" s="73" t="n">
        <v>17</v>
      </c>
      <c r="B29" s="74" t="n">
        <v>2410331</v>
      </c>
      <c r="C29" s="75" t="n">
        <v>3122245002083</v>
      </c>
      <c r="D29" s="76" t="inlineStr">
        <is>
          <t>Rovena Madharasi I</t>
        </is>
      </c>
      <c r="E29" s="76" t="inlineStr">
        <is>
          <t>rovenamadharasi2410331@ssn.edu.in</t>
        </is>
      </c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>
        <f>COUNTIF(F29:BH29,"P")</f>
        <v/>
      </c>
      <c r="BJ29" s="71">
        <f>SUM((BI29/BI12)*100)</f>
        <v/>
      </c>
    </row>
    <row r="30" ht="21" customHeight="1" s="55">
      <c r="A30" s="73" t="n">
        <v>18</v>
      </c>
      <c r="B30" s="74" t="n">
        <v>2410229</v>
      </c>
      <c r="C30" s="75" t="n">
        <v>3122245002084</v>
      </c>
      <c r="D30" s="76" t="inlineStr">
        <is>
          <t>Sabarish S B</t>
        </is>
      </c>
      <c r="E30" s="76" t="inlineStr">
        <is>
          <t>sabarish2410229@ssn.edu.in</t>
        </is>
      </c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>
        <f>COUNTIF(F30:BH30,"P")</f>
        <v/>
      </c>
      <c r="BJ30" s="71">
        <f>SUM((BI30/BI12)*100)</f>
        <v/>
      </c>
    </row>
    <row r="31" ht="21" customHeight="1" s="55">
      <c r="A31" s="73" t="n">
        <v>19</v>
      </c>
      <c r="B31" s="74" t="n">
        <v>2410984</v>
      </c>
      <c r="C31" s="75" t="n">
        <v>3122245002085</v>
      </c>
      <c r="D31" s="76" t="inlineStr">
        <is>
          <t>Sahana A</t>
        </is>
      </c>
      <c r="E31" s="76" t="inlineStr">
        <is>
          <t>sahana2410984@ssn.edu.in</t>
        </is>
      </c>
      <c r="F31" s="71" t="n"/>
      <c r="G31" s="71" t="n"/>
      <c r="H31" s="71" t="n"/>
      <c r="I31" s="71" t="n"/>
      <c r="J31" s="71" t="n"/>
      <c r="K31" s="71" t="n"/>
      <c r="L31" s="71" t="n"/>
      <c r="M31" s="7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1" t="n"/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>
        <f>COUNTIF(F31:BH31,"P")</f>
        <v/>
      </c>
      <c r="BJ31" s="71">
        <f>SUM((BI31/BI12)*100)</f>
        <v/>
      </c>
    </row>
    <row r="32" ht="21" customHeight="1" s="55">
      <c r="A32" s="73" t="n">
        <v>20</v>
      </c>
      <c r="B32" s="74" t="n">
        <v>2410091</v>
      </c>
      <c r="C32" s="75" t="n">
        <v>3122245002086</v>
      </c>
      <c r="D32" s="76" t="inlineStr">
        <is>
          <t>Sandhya B</t>
        </is>
      </c>
      <c r="E32" s="76" t="inlineStr">
        <is>
          <t>sandhya2410091@ssn.edu.in</t>
        </is>
      </c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1" t="n"/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>
        <f>COUNTIF(F32:BH32,"P")</f>
        <v/>
      </c>
      <c r="BJ32" s="71">
        <f>SUM((BI32/BI12)*100)</f>
        <v/>
      </c>
    </row>
    <row r="33" ht="21" customHeight="1" s="55">
      <c r="A33" s="73" t="n">
        <v>21</v>
      </c>
      <c r="B33" s="74" t="n">
        <v>2410706</v>
      </c>
      <c r="C33" s="75" t="n">
        <v>3122245002087</v>
      </c>
      <c r="D33" s="76" t="inlineStr">
        <is>
          <t>Sandhya S</t>
        </is>
      </c>
      <c r="E33" s="76" t="inlineStr">
        <is>
          <t>sandhya2410706@ssn.edu.in</t>
        </is>
      </c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1" t="n"/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>
        <f>COUNTIF(F33:BH33,"P")</f>
        <v/>
      </c>
      <c r="BJ33" s="71">
        <f>SUM((BI33/BI12)*100)</f>
        <v/>
      </c>
    </row>
    <row r="34" ht="21" customHeight="1" s="55">
      <c r="A34" s="73" t="n">
        <v>22</v>
      </c>
      <c r="B34" s="74" t="n">
        <v>2410778</v>
      </c>
      <c r="C34" s="75" t="n">
        <v>3122245002088</v>
      </c>
      <c r="D34" s="76" t="inlineStr">
        <is>
          <t>Sangaraju Sathwik</t>
        </is>
      </c>
      <c r="E34" s="76" t="inlineStr">
        <is>
          <t>sangaraju2410778@ssn.edu.in</t>
        </is>
      </c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1" t="n"/>
      <c r="AE34" s="71" t="n"/>
      <c r="AF34" s="71" t="n"/>
      <c r="AG34" s="71" t="n"/>
      <c r="AH34" s="71" t="n"/>
      <c r="AI34" s="71" t="n"/>
      <c r="AJ34" s="71" t="n"/>
      <c r="AK34" s="71" t="n"/>
      <c r="AL34" s="71" t="n"/>
      <c r="AM34" s="71" t="n"/>
      <c r="AN34" s="71" t="n"/>
      <c r="AO34" s="71" t="n"/>
      <c r="AP34" s="71" t="n"/>
      <c r="AQ34" s="71" t="n"/>
      <c r="AR34" s="71" t="n"/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>
        <f>COUNTIF(F34:BH34,"P")</f>
        <v/>
      </c>
      <c r="BJ34" s="71">
        <f>SUM((BI34/BI12)*100)</f>
        <v/>
      </c>
    </row>
    <row r="35" ht="21" customHeight="1" s="55">
      <c r="A35" s="73" t="n">
        <v>23</v>
      </c>
      <c r="B35" s="74" t="n">
        <v>2410162</v>
      </c>
      <c r="C35" s="75" t="n">
        <v>3122245002089</v>
      </c>
      <c r="D35" s="76" t="inlineStr">
        <is>
          <t>Sanjana Shankar</t>
        </is>
      </c>
      <c r="E35" s="76" t="inlineStr">
        <is>
          <t>sanjana2410162@ssn.edu.in</t>
        </is>
      </c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1" t="n"/>
      <c r="AE35" s="71" t="n"/>
      <c r="AF35" s="71" t="n"/>
      <c r="AG35" s="71" t="n"/>
      <c r="AH35" s="71" t="n"/>
      <c r="AI35" s="71" t="n"/>
      <c r="AJ35" s="71" t="n"/>
      <c r="AK35" s="71" t="n"/>
      <c r="AL35" s="71" t="n"/>
      <c r="AM35" s="71" t="n"/>
      <c r="AN35" s="71" t="n"/>
      <c r="AO35" s="71" t="n"/>
      <c r="AP35" s="71" t="n"/>
      <c r="AQ35" s="71" t="n"/>
      <c r="AR35" s="71" t="n"/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>
        <f>COUNTIF(F35:BH35,"P")</f>
        <v/>
      </c>
      <c r="BJ35" s="71">
        <f>SUM((BI35/BI12)*100)</f>
        <v/>
      </c>
    </row>
    <row r="36" ht="21" customHeight="1" s="55">
      <c r="A36" s="73" t="n">
        <v>24</v>
      </c>
      <c r="B36" s="74" t="n">
        <v>2410514</v>
      </c>
      <c r="C36" s="75" t="n">
        <v>3122245002090</v>
      </c>
      <c r="D36" s="76" t="inlineStr">
        <is>
          <t>Sanjay J</t>
        </is>
      </c>
      <c r="E36" s="76" t="inlineStr">
        <is>
          <t>sanjay2410514@ssn.edu.in</t>
        </is>
      </c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>
        <f>COUNTIF(F36:BH36,"P")</f>
        <v/>
      </c>
      <c r="BJ36" s="71">
        <f>SUM((BI36/BI12)*100)</f>
        <v/>
      </c>
    </row>
    <row r="37" ht="21" customHeight="1" s="55">
      <c r="A37" s="73" t="n">
        <v>25</v>
      </c>
      <c r="B37" s="74" t="n">
        <v>2410068</v>
      </c>
      <c r="C37" s="75" t="n">
        <v>3122245002091</v>
      </c>
      <c r="D37" s="76" t="inlineStr">
        <is>
          <t>Sanjay Raam S</t>
        </is>
      </c>
      <c r="E37" s="76" t="inlineStr">
        <is>
          <t>sanjayraam2410068@ssn.edu.in</t>
        </is>
      </c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1" t="n"/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>
        <f>COUNTIF(F37:BH37,"P")</f>
        <v/>
      </c>
      <c r="BJ37" s="71">
        <f>SUM((BI37/BI12)*100)</f>
        <v/>
      </c>
    </row>
    <row r="38" ht="21" customHeight="1" s="55">
      <c r="A38" s="73" t="n">
        <v>26</v>
      </c>
      <c r="B38" s="74" t="n">
        <v>2410185</v>
      </c>
      <c r="C38" s="75" t="n">
        <v>3122245002092</v>
      </c>
      <c r="D38" s="76" t="inlineStr">
        <is>
          <t>Sanjay T</t>
        </is>
      </c>
      <c r="E38" s="76" t="inlineStr">
        <is>
          <t>sanjay2410185@ssn.edu.in</t>
        </is>
      </c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1" t="n"/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>
        <f>COUNTIF(F38:BH38,"P")</f>
        <v/>
      </c>
      <c r="BJ38" s="71">
        <f>SUM((BI38/BI12)*100)</f>
        <v/>
      </c>
    </row>
    <row r="39" ht="21" customHeight="1" s="55">
      <c r="A39" s="73" t="n">
        <v>27</v>
      </c>
      <c r="B39" s="74" t="n">
        <v>2410988</v>
      </c>
      <c r="C39" s="75" t="n">
        <v>3122245002093</v>
      </c>
      <c r="D39" s="76" t="inlineStr">
        <is>
          <t>Santhosh Aaron C</t>
        </is>
      </c>
      <c r="E39" s="76" t="inlineStr">
        <is>
          <t>santhosh2410988@ssn.edu.in</t>
        </is>
      </c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>
        <f>COUNTIF(F39:BH39,"P")</f>
        <v/>
      </c>
      <c r="BJ39" s="71">
        <f>SUM((BI39/BI12)*100)</f>
        <v/>
      </c>
    </row>
    <row r="40" ht="21" customHeight="1" s="55">
      <c r="A40" s="73" t="n">
        <v>28</v>
      </c>
      <c r="B40" s="74" t="n">
        <v>2410488</v>
      </c>
      <c r="C40" s="75" t="n">
        <v>3122245002094</v>
      </c>
      <c r="D40" s="76" t="inlineStr">
        <is>
          <t>Sarvesh K</t>
        </is>
      </c>
      <c r="E40" s="76" t="inlineStr">
        <is>
          <t>sarvesh2410488@ssn.edu.in</t>
        </is>
      </c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>
        <f>COUNTIF(F40:BH40,"P")</f>
        <v/>
      </c>
      <c r="BJ40" s="71">
        <f>SUM((BI40/BI12)*100)</f>
        <v/>
      </c>
    </row>
    <row r="41" ht="21" customHeight="1" s="55">
      <c r="A41" s="73" t="n">
        <v>29</v>
      </c>
      <c r="B41" s="74" t="n">
        <v>2410076</v>
      </c>
      <c r="C41" s="75" t="n">
        <v>3122245002095</v>
      </c>
      <c r="D41" s="76" t="inlineStr">
        <is>
          <t>Sarvesh S</t>
        </is>
      </c>
      <c r="E41" s="76" t="inlineStr">
        <is>
          <t>sarvesh2410076@ssn.edu.in</t>
        </is>
      </c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1" t="n"/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>
        <f>COUNTIF(F41:BH41,"P")</f>
        <v/>
      </c>
      <c r="BJ41" s="71">
        <f>SUM((BI41/BI12)*100)</f>
        <v/>
      </c>
    </row>
    <row r="42" ht="21" customHeight="1" s="55">
      <c r="A42" s="73" t="n">
        <v>30</v>
      </c>
      <c r="B42" s="74" t="n">
        <v>2410740</v>
      </c>
      <c r="C42" s="75" t="n">
        <v>3122245002096</v>
      </c>
      <c r="D42" s="76" t="inlineStr">
        <is>
          <t>Sarvesh S</t>
        </is>
      </c>
      <c r="E42" s="76" t="inlineStr">
        <is>
          <t>sarvesh2410740@ssn.edu.in</t>
        </is>
      </c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1" t="n"/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>
        <f>COUNTIF(F42:BH42,"P")</f>
        <v/>
      </c>
      <c r="BJ42" s="71">
        <f>SUM((BI42/BI12)*100)</f>
        <v/>
      </c>
    </row>
    <row r="43" ht="21" customHeight="1" s="55">
      <c r="A43" s="73" t="n">
        <v>31</v>
      </c>
      <c r="B43" s="74" t="n">
        <v>2410118</v>
      </c>
      <c r="C43" s="75" t="n">
        <v>3122245002097</v>
      </c>
      <c r="D43" s="76" t="inlineStr">
        <is>
          <t>Sathvik Gururaghavendran</t>
        </is>
      </c>
      <c r="E43" s="76" t="inlineStr">
        <is>
          <t>sathvik2410118@ssn.edu.in</t>
        </is>
      </c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>
        <f>COUNTIF(F43:BH43,"P")</f>
        <v/>
      </c>
      <c r="BJ43" s="71">
        <f>SUM((BI43/BI12)*100)</f>
        <v/>
      </c>
    </row>
    <row r="44" ht="21" customHeight="1" s="55">
      <c r="A44" s="73" t="n">
        <v>32</v>
      </c>
      <c r="B44" s="74" t="n">
        <v>2410486</v>
      </c>
      <c r="C44" s="75" t="n">
        <v>3122245002098</v>
      </c>
      <c r="D44" s="76" t="inlineStr">
        <is>
          <t>Shalini G</t>
        </is>
      </c>
      <c r="E44" s="76" t="inlineStr">
        <is>
          <t>shalini2410486@ssn.edu.in</t>
        </is>
      </c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>
        <f>COUNTIF(F44:BH44,"P")</f>
        <v/>
      </c>
      <c r="BJ44" s="71">
        <f>SUM((BI44/BI12)*100)</f>
        <v/>
      </c>
    </row>
    <row r="45" ht="21" customHeight="1" s="55">
      <c r="A45" s="73" t="n">
        <v>33</v>
      </c>
      <c r="B45" s="74" t="n">
        <v>2410569</v>
      </c>
      <c r="C45" s="75" t="n">
        <v>3122245002099</v>
      </c>
      <c r="D45" s="76" t="inlineStr">
        <is>
          <t>Sharaal Jospeen Rani S</t>
        </is>
      </c>
      <c r="E45" s="76" t="inlineStr">
        <is>
          <t>sharaaljospeenrani2410569@ssn.edu.in</t>
        </is>
      </c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>
        <f>COUNTIF(F45:BH45,"P")</f>
        <v/>
      </c>
      <c r="BJ45" s="71">
        <f>SUM((BI45/BI12)*100)</f>
        <v/>
      </c>
    </row>
    <row r="46" ht="21" customHeight="1" s="55">
      <c r="A46" s="73" t="n">
        <v>34</v>
      </c>
      <c r="B46" s="74" t="n">
        <v>2410047</v>
      </c>
      <c r="C46" s="75" t="n">
        <v>3122245002100</v>
      </c>
      <c r="D46" s="76" t="inlineStr">
        <is>
          <t>Shashank V</t>
        </is>
      </c>
      <c r="E46" s="76" t="inlineStr">
        <is>
          <t>shashank2410047@ssn.edu.in</t>
        </is>
      </c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1" t="n"/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>
        <f>COUNTIF(F46:BH46,"P")</f>
        <v/>
      </c>
      <c r="BJ46" s="71">
        <f>SUM((BI46/BI12)*100)</f>
        <v/>
      </c>
    </row>
    <row r="47" ht="21" customHeight="1" s="55">
      <c r="A47" s="73" t="n">
        <v>35</v>
      </c>
      <c r="B47" s="74" t="n">
        <v>2410184</v>
      </c>
      <c r="C47" s="75" t="n">
        <v>3122245002101</v>
      </c>
      <c r="D47" s="76" t="inlineStr">
        <is>
          <t>Shree M</t>
        </is>
      </c>
      <c r="E47" s="76" t="inlineStr">
        <is>
          <t>shree2410184@ssn.edu.in</t>
        </is>
      </c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>
        <f>COUNTIF(F47:BH47,"P")</f>
        <v/>
      </c>
      <c r="BJ47" s="71">
        <f>SUM((BI47/BI13)*100)</f>
        <v/>
      </c>
    </row>
    <row r="48" ht="21" customHeight="1" s="55">
      <c r="A48" s="73" t="n">
        <v>36</v>
      </c>
      <c r="B48" s="74" t="n">
        <v>2410214</v>
      </c>
      <c r="C48" s="75" t="n">
        <v>3122245002102</v>
      </c>
      <c r="D48" s="76" t="inlineStr">
        <is>
          <t>Shrika Neeharika C</t>
        </is>
      </c>
      <c r="E48" s="76" t="inlineStr">
        <is>
          <t>shrikaneeharika2410214@ssn.edu.in</t>
        </is>
      </c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>
        <f>COUNTIF(F48:BH48,"P")</f>
        <v/>
      </c>
      <c r="BJ48" s="71">
        <f>SUM((BI48/BI12)*100)</f>
        <v/>
      </c>
    </row>
    <row r="49" ht="21" customHeight="1" s="55">
      <c r="A49" s="73" t="n">
        <v>37</v>
      </c>
      <c r="B49" s="74" t="n">
        <v>2410072</v>
      </c>
      <c r="C49" s="75" t="n">
        <v>3122245002103</v>
      </c>
      <c r="D49" s="76" t="inlineStr">
        <is>
          <t>Shrish V V S Sri Kumar Rasamsetty</t>
        </is>
      </c>
      <c r="E49" s="76" t="inlineStr">
        <is>
          <t>shrish2410072@ssn.edu.in</t>
        </is>
      </c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1" t="n"/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>
        <f>COUNTIF(F49:BH49,"P")</f>
        <v/>
      </c>
      <c r="BJ49" s="71">
        <f>SUM((BI49/BI12)*100)</f>
        <v/>
      </c>
    </row>
    <row r="50" ht="21" customHeight="1" s="55">
      <c r="A50" s="73" t="n">
        <v>38</v>
      </c>
      <c r="B50" s="74" t="n">
        <v>2410533</v>
      </c>
      <c r="C50" s="75" t="n">
        <v>3122245002104</v>
      </c>
      <c r="D50" s="76" t="inlineStr">
        <is>
          <t>Shyam T J</t>
        </is>
      </c>
      <c r="E50" s="76" t="inlineStr">
        <is>
          <t>shyam2410533@ssn.edu.in</t>
        </is>
      </c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1" t="n"/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>
        <f>COUNTIF(F50:BH50,"P")</f>
        <v/>
      </c>
      <c r="BJ50" s="71">
        <f>SUM((BI50/BI12)*100)</f>
        <v/>
      </c>
    </row>
    <row r="51" ht="21" customHeight="1" s="55">
      <c r="A51" s="73" t="n">
        <v>39</v>
      </c>
      <c r="B51" s="74" t="n">
        <v>2410457</v>
      </c>
      <c r="C51" s="75" t="n">
        <v>3122245002105</v>
      </c>
      <c r="D51" s="76" t="inlineStr">
        <is>
          <t>Siva Hari Raj S T</t>
        </is>
      </c>
      <c r="E51" s="76" t="inlineStr">
        <is>
          <t>sivahariraj2410457@ssn.edu.in</t>
        </is>
      </c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1" t="n"/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>
        <f>COUNTIF(F51:BH51,"P")</f>
        <v/>
      </c>
      <c r="BJ51" s="71">
        <f>SUM((BI51/BI12)*100)</f>
        <v/>
      </c>
    </row>
    <row r="52" ht="21" customHeight="1" s="55">
      <c r="A52" s="73" t="n">
        <v>40</v>
      </c>
      <c r="B52" s="74" t="n">
        <v>2410759</v>
      </c>
      <c r="C52" s="75" t="n">
        <v>3122245002106</v>
      </c>
      <c r="D52" s="76" t="inlineStr">
        <is>
          <t>Sivaprasanth K</t>
        </is>
      </c>
      <c r="E52" s="76" t="inlineStr">
        <is>
          <t>sivaprasanth2410759@ssn.edu.in</t>
        </is>
      </c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1" t="n"/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>
        <f>COUNTIF(F52:BH52,"P")</f>
        <v/>
      </c>
      <c r="BJ52" s="71">
        <f>SUM((BI52/BI12)*100)</f>
        <v/>
      </c>
    </row>
    <row r="53" ht="21" customHeight="1" s="55">
      <c r="A53" s="73" t="n">
        <v>41</v>
      </c>
      <c r="B53" s="74" t="n">
        <v>2410530</v>
      </c>
      <c r="C53" s="75" t="n">
        <v>3122245002107</v>
      </c>
      <c r="D53" s="76" t="inlineStr">
        <is>
          <t>Sreenath G</t>
        </is>
      </c>
      <c r="E53" s="76" t="inlineStr">
        <is>
          <t>sreenath2410530@ssn.edu.in</t>
        </is>
      </c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1" t="n"/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>
        <f>COUNTIF(F53:BH53,"P")</f>
        <v/>
      </c>
      <c r="BJ53" s="71">
        <f>SUM((BI53/BI12)*100)</f>
        <v/>
      </c>
    </row>
    <row r="54" ht="21" customHeight="1" s="55">
      <c r="A54" s="73" t="n">
        <v>42</v>
      </c>
      <c r="B54" s="74" t="n">
        <v>2410089</v>
      </c>
      <c r="C54" s="75" t="n">
        <v>3122245002108</v>
      </c>
      <c r="D54" s="76" t="inlineStr">
        <is>
          <t>Sri Subhiksha T</t>
        </is>
      </c>
      <c r="E54" s="76" t="inlineStr">
        <is>
          <t>sri2410089@ssn.edu.in</t>
        </is>
      </c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1" t="n"/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>
        <f>COUNTIF(F54:BH54,"P")</f>
        <v/>
      </c>
      <c r="BJ54" s="71">
        <f>SUM((BI54/BI12)*100)</f>
        <v/>
      </c>
    </row>
    <row r="55" ht="21" customHeight="1" s="55">
      <c r="A55" s="73" t="n">
        <v>43</v>
      </c>
      <c r="B55" s="74" t="n">
        <v>2410307</v>
      </c>
      <c r="C55" s="75" t="n">
        <v>3122245002109</v>
      </c>
      <c r="D55" s="76" t="inlineStr">
        <is>
          <t>Srimathi B</t>
        </is>
      </c>
      <c r="E55" s="76" t="inlineStr">
        <is>
          <t>srimathi2410307@ssn.edu.in</t>
        </is>
      </c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>
        <f>COUNTIF(F55:BH55,"P")</f>
        <v/>
      </c>
      <c r="BJ55" s="71">
        <f>SUM((BI55/BI12)*100)</f>
        <v/>
      </c>
    </row>
    <row r="56" ht="21" customHeight="1" s="55">
      <c r="A56" s="73" t="n">
        <v>44</v>
      </c>
      <c r="B56" s="74" t="n">
        <v>2410315</v>
      </c>
      <c r="C56" s="75" t="n">
        <v>3122245002110</v>
      </c>
      <c r="D56" s="76" t="inlineStr">
        <is>
          <t>Sriram R</t>
        </is>
      </c>
      <c r="E56" s="76" t="inlineStr">
        <is>
          <t>sriram2410315@ssn.edu.in</t>
        </is>
      </c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>
        <f>COUNTIF(F56:BH56,"P")</f>
        <v/>
      </c>
      <c r="BJ56" s="71">
        <f>SUM((BI56/BI12)*100)</f>
        <v/>
      </c>
    </row>
    <row r="57" ht="21" customHeight="1" s="55">
      <c r="A57" s="73" t="n">
        <v>45</v>
      </c>
      <c r="B57" s="74" t="n">
        <v>2410777</v>
      </c>
      <c r="C57" s="75" t="n">
        <v>3122245002111</v>
      </c>
      <c r="D57" s="76" t="inlineStr">
        <is>
          <t>Srivarshan S</t>
        </is>
      </c>
      <c r="E57" s="76" t="inlineStr">
        <is>
          <t>srivarshan2410777@ssn.edu.in</t>
        </is>
      </c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1" t="n"/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>
        <f>COUNTIF(F57:BH57,"P")</f>
        <v/>
      </c>
      <c r="BJ57" s="71">
        <f>SUM((BI57/BI12)*100)</f>
        <v/>
      </c>
    </row>
    <row r="58" ht="21" customHeight="1" s="55">
      <c r="A58" s="73" t="n">
        <v>46</v>
      </c>
      <c r="B58" s="74" t="n">
        <v>2410345</v>
      </c>
      <c r="C58" s="75" t="n">
        <v>3122245002112</v>
      </c>
      <c r="D58" s="76" t="inlineStr">
        <is>
          <t>Srivathsan G</t>
        </is>
      </c>
      <c r="E58" s="76" t="inlineStr">
        <is>
          <t>srivathsan2410345@ssn.edu.in</t>
        </is>
      </c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1" t="n"/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>
        <f>COUNTIF(F58:BH58,"P")</f>
        <v/>
      </c>
      <c r="BJ58" s="71">
        <f>SUM((BI58/BI12)*100)</f>
        <v/>
      </c>
    </row>
    <row r="59" ht="21" customHeight="1" s="55">
      <c r="A59" s="73" t="n">
        <v>47</v>
      </c>
      <c r="B59" s="74" t="n">
        <v>2410867</v>
      </c>
      <c r="C59" s="75" t="n">
        <v>3122245002113</v>
      </c>
      <c r="D59" s="76" t="inlineStr">
        <is>
          <t>Sudharsan S</t>
        </is>
      </c>
      <c r="E59" s="76" t="inlineStr">
        <is>
          <t>sudharsan2410867@ssn.edu.in</t>
        </is>
      </c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1" t="n"/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>
        <f>COUNTIF(F59:BH59,"P")</f>
        <v/>
      </c>
      <c r="BJ59" s="71">
        <f>SUM((BI59/BI12)*100)</f>
        <v/>
      </c>
    </row>
    <row r="60" ht="21" customHeight="1" s="55">
      <c r="A60" s="73" t="n">
        <v>48</v>
      </c>
      <c r="B60" s="74" t="n">
        <v>2410309</v>
      </c>
      <c r="C60" s="75" t="n">
        <v>3122245002114</v>
      </c>
      <c r="D60" s="76" t="inlineStr">
        <is>
          <t>Sunitha Adluru</t>
        </is>
      </c>
      <c r="E60" s="76" t="inlineStr">
        <is>
          <t>sunitha2410309@ssn.edu.in</t>
        </is>
      </c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>
        <f>COUNTIF(F60:BH60,"P")</f>
        <v/>
      </c>
      <c r="BJ60" s="71">
        <f>SUM((BI60/BI12)*100)</f>
        <v/>
      </c>
    </row>
    <row r="61" ht="21" customHeight="1" s="55">
      <c r="A61" s="73" t="n">
        <v>49</v>
      </c>
      <c r="B61" s="74" t="n">
        <v>2410404</v>
      </c>
      <c r="C61" s="75" t="n">
        <v>3122245002115</v>
      </c>
      <c r="D61" s="76" t="inlineStr">
        <is>
          <t>Supritha R</t>
        </is>
      </c>
      <c r="E61" s="76" t="inlineStr">
        <is>
          <t>supritha2410404@ssn.edu.in</t>
        </is>
      </c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1" t="n"/>
      <c r="AE61" s="71" t="n"/>
      <c r="AF61" s="71" t="n"/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1" t="n"/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>
        <f>COUNTIF(F61:BH61,"P")</f>
        <v/>
      </c>
      <c r="BJ61" s="71">
        <f>SUM((BI61/BI12)*100)</f>
        <v/>
      </c>
    </row>
    <row r="62" ht="21" customHeight="1" s="55">
      <c r="A62" s="73" t="n">
        <v>50</v>
      </c>
      <c r="B62" s="74" t="n">
        <v>2410239</v>
      </c>
      <c r="C62" s="75" t="n">
        <v>3122245002116</v>
      </c>
      <c r="D62" s="76" t="inlineStr">
        <is>
          <t>Sweta Sri P</t>
        </is>
      </c>
      <c r="E62" s="76" t="inlineStr">
        <is>
          <t>swetasri2410239@ssn.edu.in</t>
        </is>
      </c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1" t="n"/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>
        <f>COUNTIF(F62:BH62,"P")</f>
        <v/>
      </c>
      <c r="BJ62" s="71">
        <f>SUM((BI62/BI12)*100)</f>
        <v/>
      </c>
    </row>
    <row r="63" ht="21" customHeight="1" s="55">
      <c r="A63" s="73" t="n">
        <v>51</v>
      </c>
      <c r="B63" s="74" t="n">
        <v>2410247</v>
      </c>
      <c r="C63" s="75" t="n">
        <v>3122245002117</v>
      </c>
      <c r="D63" s="76" t="inlineStr">
        <is>
          <t>Tejaswin Bhola</t>
        </is>
      </c>
      <c r="E63" s="76" t="inlineStr">
        <is>
          <t>tejaswin2410247@ssn.edu.in</t>
        </is>
      </c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>
        <f>COUNTIF(F63:BH63,"P")</f>
        <v/>
      </c>
      <c r="BJ63" s="71">
        <f>SUM((BI63/BI12)*100)</f>
        <v/>
      </c>
    </row>
    <row r="64" ht="21" customHeight="1" s="55">
      <c r="A64" s="73" t="n">
        <v>52</v>
      </c>
      <c r="B64" s="74" t="n">
        <v>2410699</v>
      </c>
      <c r="C64" s="75" t="n">
        <v>3122245002118</v>
      </c>
      <c r="D64" s="76" t="inlineStr">
        <is>
          <t>Thamizhini R</t>
        </is>
      </c>
      <c r="E64" s="76" t="inlineStr">
        <is>
          <t>thamizhini2410699@ssn.edu.in</t>
        </is>
      </c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>
        <f>COUNTIF(F64:BH64,"P")</f>
        <v/>
      </c>
      <c r="BJ64" s="71">
        <f>SUM((BI64/BI12)*100)</f>
        <v/>
      </c>
    </row>
    <row r="65" ht="21" customHeight="1" s="55">
      <c r="A65" s="73" t="n">
        <v>53</v>
      </c>
      <c r="B65" s="74" t="n">
        <v>2410405</v>
      </c>
      <c r="C65" s="75" t="n">
        <v>3122245002119</v>
      </c>
      <c r="D65" s="76" t="inlineStr">
        <is>
          <t>Tharun Balaji M</t>
        </is>
      </c>
      <c r="E65" s="76" t="inlineStr">
        <is>
          <t>tharunbalaji2410405@ssn.edu.in</t>
        </is>
      </c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1" t="n"/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>
        <f>COUNTIF(F65:BH65,"P")</f>
        <v/>
      </c>
      <c r="BJ65" s="71">
        <f>SUM((BI65/BI12)*100)</f>
        <v/>
      </c>
    </row>
    <row r="66" ht="21" customHeight="1" s="55">
      <c r="A66" s="73" t="n">
        <v>54</v>
      </c>
      <c r="B66" s="74" t="n">
        <v>2410785</v>
      </c>
      <c r="C66" s="75" t="n">
        <v>3122245002120</v>
      </c>
      <c r="D66" s="76" t="inlineStr">
        <is>
          <t>Thavasi M</t>
        </is>
      </c>
      <c r="E66" s="76" t="inlineStr">
        <is>
          <t>thavasi2410785@ssn.edu.in</t>
        </is>
      </c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1" t="n"/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>
        <f>COUNTIF(F66:BH66,"P")</f>
        <v/>
      </c>
      <c r="BJ66" s="71">
        <f>SUM((BI66/BI12)*100)</f>
        <v/>
      </c>
    </row>
    <row r="67" ht="21" customHeight="1" s="55">
      <c r="A67" s="73" t="n">
        <v>55</v>
      </c>
      <c r="B67" s="74" t="n">
        <v>2410584</v>
      </c>
      <c r="C67" s="75" t="n">
        <v>3122245002121</v>
      </c>
      <c r="D67" s="76" t="inlineStr">
        <is>
          <t>Thirukkumaran V M</t>
        </is>
      </c>
      <c r="E67" s="76" t="inlineStr">
        <is>
          <t>thirukkumaran2410584@ssn.edu.in</t>
        </is>
      </c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1" t="n"/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>
        <f>COUNTIF(F67:BH67,"P")</f>
        <v/>
      </c>
      <c r="BJ67" s="71">
        <f>SUM((BI67/BI12)*100)</f>
        <v/>
      </c>
    </row>
    <row r="68" ht="21" customHeight="1" s="55">
      <c r="A68" s="73" t="n">
        <v>56</v>
      </c>
      <c r="B68" s="74" t="n">
        <v>2410413</v>
      </c>
      <c r="C68" s="75" t="n">
        <v>3122245002122</v>
      </c>
      <c r="D68" s="76" t="inlineStr">
        <is>
          <t>Varsha M</t>
        </is>
      </c>
      <c r="E68" s="76" t="inlineStr">
        <is>
          <t>varsha2410413@ssn.edu.in</t>
        </is>
      </c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1" t="n"/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>
        <f>COUNTIF(F68:BH68,"P")</f>
        <v/>
      </c>
      <c r="BJ68" s="71">
        <f>SUM((BI68/BI12)*100)</f>
        <v/>
      </c>
    </row>
    <row r="69" ht="21" customHeight="1" s="55">
      <c r="A69" s="73" t="n">
        <v>57</v>
      </c>
      <c r="B69" s="74" t="n">
        <v>2410848</v>
      </c>
      <c r="C69" s="75" t="n">
        <v>3122245002123</v>
      </c>
      <c r="D69" s="76" t="inlineStr">
        <is>
          <t>Varsha S</t>
        </is>
      </c>
      <c r="E69" s="76" t="inlineStr">
        <is>
          <t>varsha2410848@ssn.edu.in</t>
        </is>
      </c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1" t="n"/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>
        <f>COUNTIF(F69:BH69,"P")</f>
        <v/>
      </c>
      <c r="BJ69" s="71">
        <f>SUM((BI69/BI12)*100)</f>
        <v/>
      </c>
    </row>
    <row r="70" ht="21" customHeight="1" s="55">
      <c r="A70" s="73" t="n">
        <v>58</v>
      </c>
      <c r="B70" s="74" t="n">
        <v>2410804</v>
      </c>
      <c r="C70" s="75" t="n">
        <v>3122245002124</v>
      </c>
      <c r="D70" s="76" t="inlineStr">
        <is>
          <t>Vijai T</t>
        </is>
      </c>
      <c r="E70" s="76" t="inlineStr">
        <is>
          <t>vijai2410804@ssn.edu.in</t>
        </is>
      </c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71" t="n"/>
      <c r="AH70" s="71" t="n"/>
      <c r="AI70" s="71" t="n"/>
      <c r="AJ70" s="71" t="n"/>
      <c r="AK70" s="71" t="n"/>
      <c r="AL70" s="71" t="n"/>
      <c r="AM70" s="71" t="n"/>
      <c r="AN70" s="71" t="n"/>
      <c r="AO70" s="71" t="n"/>
      <c r="AP70" s="71" t="n"/>
      <c r="AQ70" s="71" t="n"/>
      <c r="AR70" s="71" t="n"/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>
        <f>COUNTIF(F70:BH70,"P")</f>
        <v/>
      </c>
      <c r="BJ70" s="71">
        <f>SUM((BI70/BI12)*100)</f>
        <v/>
      </c>
    </row>
    <row r="71" ht="21" customHeight="1" s="55">
      <c r="A71" s="73" t="n">
        <v>59</v>
      </c>
      <c r="B71" s="74" t="n">
        <v>2410586</v>
      </c>
      <c r="C71" s="75" t="n">
        <v>3122245002125</v>
      </c>
      <c r="D71" s="76" t="inlineStr">
        <is>
          <t>Vimal Raj M</t>
        </is>
      </c>
      <c r="E71" s="76" t="inlineStr">
        <is>
          <t>vimalraj2410586@ssn.edu.in</t>
        </is>
      </c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>
        <f>COUNTIF(F71:BH71,"P")</f>
        <v/>
      </c>
      <c r="BJ71" s="71">
        <f>SUM((BI71/BI12)*100)</f>
        <v/>
      </c>
    </row>
    <row r="72" ht="21" customHeight="1" s="55">
      <c r="A72" s="73" t="n">
        <v>60</v>
      </c>
      <c r="B72" s="74" t="n">
        <v>2410781</v>
      </c>
      <c r="C72" s="75" t="n">
        <v>3122245002126</v>
      </c>
      <c r="D72" s="76" t="inlineStr">
        <is>
          <t>Vinobalan K</t>
        </is>
      </c>
      <c r="E72" s="76" t="inlineStr">
        <is>
          <t>vinobalan2410781@ssn.edu.in</t>
        </is>
      </c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1" t="n"/>
      <c r="AE72" s="71" t="n"/>
      <c r="AF72" s="71" t="n"/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>
        <f>COUNTIF(F72:BH72,"P")</f>
        <v/>
      </c>
      <c r="BJ72" s="71">
        <f>SUM((BI72/BI12)*100)</f>
        <v/>
      </c>
    </row>
    <row r="73" ht="21" customHeight="1" s="55">
      <c r="A73" s="73" t="n">
        <v>61</v>
      </c>
      <c r="B73" s="74" t="n">
        <v>2410739</v>
      </c>
      <c r="C73" s="75" t="n">
        <v>3122245002127</v>
      </c>
      <c r="D73" s="76" t="inlineStr">
        <is>
          <t>Vishnu A</t>
        </is>
      </c>
      <c r="E73" s="76" t="inlineStr">
        <is>
          <t>vishnu2410739@ssn.edu.in</t>
        </is>
      </c>
      <c r="F73" s="71" t="n"/>
      <c r="G73" s="71" t="n"/>
      <c r="H73" s="71" t="n"/>
      <c r="I73" s="71" t="n"/>
      <c r="J73" s="71" t="n"/>
      <c r="K73" s="71" t="n"/>
      <c r="L73" s="71" t="n"/>
      <c r="M73" s="7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1" t="n"/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>
        <f>COUNTIF(F73:BH73,"P")</f>
        <v/>
      </c>
      <c r="BJ73" s="71">
        <f>SUM((BI73/BI12)*100)</f>
        <v/>
      </c>
    </row>
    <row r="74" ht="21" customHeight="1" s="55">
      <c r="A74" s="73" t="n">
        <v>62</v>
      </c>
      <c r="B74" s="74" t="n">
        <v>2410079</v>
      </c>
      <c r="C74" s="75" t="n">
        <v>3122245002128</v>
      </c>
      <c r="D74" s="76" t="inlineStr">
        <is>
          <t>Yasasvini Tiwari</t>
        </is>
      </c>
      <c r="E74" s="76" t="inlineStr">
        <is>
          <t>yasasvini2410079@ssn.edu.in</t>
        </is>
      </c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1" t="n"/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>
        <f>COUNTIF(F74:BH74,"P")</f>
        <v/>
      </c>
      <c r="BJ74" s="71">
        <f>SUM((BI74/BI12)*100)</f>
        <v/>
      </c>
    </row>
    <row r="75" ht="21" customHeight="1" s="55">
      <c r="A75" s="73" t="n">
        <v>63</v>
      </c>
      <c r="B75" s="74" t="n">
        <v>2410480</v>
      </c>
      <c r="C75" s="75" t="n">
        <v>3122245002129</v>
      </c>
      <c r="D75" s="76" t="inlineStr">
        <is>
          <t>Yashwanth B</t>
        </is>
      </c>
      <c r="E75" s="76" t="inlineStr">
        <is>
          <t>yashwanth2410480@ssn.edu.in</t>
        </is>
      </c>
      <c r="F75" s="71" t="n"/>
      <c r="G75" s="71" t="n"/>
      <c r="H75" s="71" t="n"/>
      <c r="I75" s="71" t="n"/>
      <c r="J75" s="71" t="n"/>
      <c r="K75" s="71" t="n"/>
      <c r="L75" s="71" t="n"/>
      <c r="M75" s="7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1" t="n"/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>
        <f>COUNTIF(F75:BH75,"P")</f>
        <v/>
      </c>
      <c r="BJ75" s="71">
        <f>SUM((BI75/BI12)*100)</f>
        <v/>
      </c>
    </row>
    <row r="76" ht="21" customHeight="1" s="55">
      <c r="A76" s="73" t="n">
        <v>64</v>
      </c>
      <c r="B76" s="74" t="n">
        <v>2410433</v>
      </c>
      <c r="C76" s="75" t="n">
        <v>3122245002130</v>
      </c>
      <c r="D76" s="76" t="inlineStr">
        <is>
          <t>Yashwanth R</t>
        </is>
      </c>
      <c r="E76" s="76" t="inlineStr">
        <is>
          <t>yashwanth2410433@ssn.edu.in</t>
        </is>
      </c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1" t="n"/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>
        <f>COUNTIF(F76:BH76,"P")</f>
        <v/>
      </c>
      <c r="BJ76" s="71">
        <f>SUM((BI76/BI12)*100)</f>
        <v/>
      </c>
    </row>
    <row r="77" ht="21" customHeight="1" s="55">
      <c r="A77" s="73" t="n">
        <v>65</v>
      </c>
      <c r="B77" s="74" t="n">
        <v>2410096</v>
      </c>
      <c r="C77" s="75" t="n">
        <v>3122245002131</v>
      </c>
      <c r="D77" s="76" t="inlineStr">
        <is>
          <t>Yasmithasri B</t>
        </is>
      </c>
      <c r="E77" s="76" t="inlineStr">
        <is>
          <t>yasmithasri2410096@ssn.edu.in</t>
        </is>
      </c>
      <c r="F77" s="71" t="n"/>
      <c r="G77" s="71" t="n"/>
      <c r="H77" s="71" t="n"/>
      <c r="I77" s="71" t="n"/>
      <c r="J77" s="71" t="n"/>
      <c r="K77" s="71" t="n"/>
      <c r="L77" s="71" t="n"/>
      <c r="M77" s="7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1" t="n"/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>
        <f>COUNTIF(F77:BH77,"P")</f>
        <v/>
      </c>
      <c r="BJ77" s="71">
        <f>SUM((BI77/BI12)*100)</f>
        <v/>
      </c>
    </row>
    <row r="78" ht="21" customHeight="1" s="55">
      <c r="A78" s="73" t="n">
        <v>66</v>
      </c>
      <c r="B78" s="74" t="n">
        <v>2410990</v>
      </c>
      <c r="C78" s="75" t="n">
        <v>3122245002132</v>
      </c>
      <c r="D78" s="76" t="inlineStr">
        <is>
          <t>Yuvanitha A R</t>
        </is>
      </c>
      <c r="E78" s="76" t="inlineStr">
        <is>
          <t>yuvanitha2410990@ssn.edu.in</t>
        </is>
      </c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1" t="n"/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>
        <f>COUNTIF(F78:BH78,"P")</f>
        <v/>
      </c>
      <c r="BJ78" s="71">
        <f>SUM((BI78/BI12)*100)</f>
        <v/>
      </c>
    </row>
    <row r="79" ht="21" customHeight="1" s="55">
      <c r="A79" s="73" t="n">
        <v>67</v>
      </c>
      <c r="B79" s="74" t="n">
        <v>2412049</v>
      </c>
      <c r="C79" s="75" t="n">
        <v>3122245002304</v>
      </c>
      <c r="D79" s="76" t="inlineStr">
        <is>
          <t>Darshan S S</t>
        </is>
      </c>
      <c r="E79" s="76" t="inlineStr">
        <is>
          <t>darshan2412049@ssn.edu.in</t>
        </is>
      </c>
      <c r="F79" s="71" t="n"/>
      <c r="G79" s="71" t="n"/>
      <c r="H79" s="71" t="n"/>
      <c r="I79" s="71" t="n"/>
      <c r="J79" s="71" t="n"/>
      <c r="K79" s="71" t="n"/>
      <c r="L79" s="71" t="n"/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  <c r="Z79" s="71" t="n"/>
      <c r="AA79" s="71" t="n"/>
      <c r="AB79" s="71" t="n"/>
      <c r="AC79" s="7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>
        <f>COUNTIF(F79:BH79,"P")</f>
        <v/>
      </c>
      <c r="BJ79" s="71">
        <f>SUM((BI79/BI12)*100)</f>
        <v/>
      </c>
    </row>
    <row r="80" ht="21" customHeight="1" s="55">
      <c r="A80" s="73" t="n">
        <v>68</v>
      </c>
      <c r="B80" s="74" t="n">
        <v>2412046</v>
      </c>
      <c r="C80" s="75" t="n">
        <v>3122245002307</v>
      </c>
      <c r="D80" s="76" t="inlineStr">
        <is>
          <t>Manojkumar G</t>
        </is>
      </c>
      <c r="E80" s="76" t="inlineStr">
        <is>
          <t>manojkumar2412046@ssn.edu.in</t>
        </is>
      </c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>
        <f>COUNTIF(F80:BH80,"P")</f>
        <v/>
      </c>
      <c r="BJ80" s="71">
        <f>SUM((BI80/BI12)*100)</f>
        <v/>
      </c>
    </row>
    <row r="81" ht="21" customHeight="1" s="55">
      <c r="A81" s="73" t="n">
        <v>69</v>
      </c>
      <c r="B81" s="74" t="n">
        <v>2412010</v>
      </c>
      <c r="C81" s="75" t="n">
        <v>3122245002308</v>
      </c>
      <c r="D81" s="76" t="inlineStr">
        <is>
          <t>Rhea Jenifer P</t>
        </is>
      </c>
      <c r="E81" s="76" t="inlineStr">
        <is>
          <t>rheajenifer2412010@ssn.edu.in</t>
        </is>
      </c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8" t="n"/>
      <c r="AB81" s="88" t="n"/>
      <c r="AC81" s="88" t="n"/>
      <c r="AD81" s="88" t="n"/>
      <c r="AE81" s="88" t="n"/>
      <c r="AF81" s="88" t="n"/>
      <c r="AG81" s="88" t="n"/>
      <c r="AH81" s="88" t="n"/>
      <c r="AI81" s="88" t="n"/>
      <c r="AJ81" s="88" t="n"/>
      <c r="AK81" s="88" t="n"/>
      <c r="AL81" s="88" t="n"/>
      <c r="AM81" s="88" t="n"/>
      <c r="AN81" s="88" t="n"/>
      <c r="AO81" s="88" t="n"/>
      <c r="AP81" s="88" t="n"/>
      <c r="AQ81" s="88" t="n"/>
      <c r="AR81" s="88" t="n"/>
      <c r="AS81" s="88" t="n"/>
      <c r="AT81" s="88" t="n"/>
      <c r="AU81" s="88" t="n"/>
      <c r="AV81" s="88" t="n"/>
      <c r="AW81" s="88" t="n"/>
      <c r="AX81" s="88" t="n"/>
      <c r="AY81" s="88" t="n"/>
      <c r="AZ81" s="88" t="n"/>
      <c r="BA81" s="88" t="n"/>
      <c r="BB81" s="88" t="n"/>
      <c r="BC81" s="88" t="n"/>
      <c r="BD81" s="88" t="n"/>
      <c r="BE81" s="88" t="n"/>
      <c r="BF81" s="88" t="n"/>
      <c r="BG81" s="88" t="n"/>
      <c r="BH81" s="88" t="n"/>
      <c r="BI81" s="88">
        <f>COUNTIF(F81:BH81,"P")</f>
        <v/>
      </c>
      <c r="BJ81" s="88">
        <f>SUM((BI81/BI12)*100)</f>
        <v/>
      </c>
    </row>
    <row r="82" ht="21" customHeight="1" s="55">
      <c r="A82" s="73" t="n">
        <v>70</v>
      </c>
      <c r="B82" s="74" t="n">
        <v>2412073</v>
      </c>
      <c r="C82" s="75" t="n">
        <v>3122245002309</v>
      </c>
      <c r="D82" s="76" t="inlineStr">
        <is>
          <t>Sadhika T S</t>
        </is>
      </c>
      <c r="E82" s="76" t="inlineStr">
        <is>
          <t>sadhika2412073@ssn.edu.in</t>
        </is>
      </c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1" t="n"/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>
        <f>COUNTIF(F82:BH82,"P")</f>
        <v/>
      </c>
      <c r="BJ82" s="71">
        <f>SUM((BI82/BI12)*100)</f>
        <v/>
      </c>
    </row>
    <row r="83" ht="21" customHeight="1" s="55">
      <c r="A83" s="73" t="n">
        <v>71</v>
      </c>
      <c r="B83" s="74" t="n">
        <v>2412001</v>
      </c>
      <c r="C83" s="75" t="n">
        <v>3122245002310</v>
      </c>
      <c r="D83" s="76" t="inlineStr">
        <is>
          <t>Sundararajan R</t>
        </is>
      </c>
      <c r="E83" s="76" t="inlineStr">
        <is>
          <t>sundararajan2412001@ssn.edu.in</t>
        </is>
      </c>
      <c r="F83" s="71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1" t="n"/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  <c r="BJ83" s="71" t="n"/>
    </row>
    <row r="84" ht="12.75" customHeight="1" s="55">
      <c r="B84" s="77" t="n"/>
      <c r="C84" s="77" t="n"/>
    </row>
    <row r="85" ht="12.75" customHeight="1" s="55">
      <c r="B85" s="77" t="n"/>
      <c r="C85" s="77" t="n"/>
    </row>
    <row r="86" ht="12.75" customHeight="1" s="55">
      <c r="B86" s="77" t="n"/>
      <c r="C86" s="77" t="n"/>
    </row>
    <row r="87" ht="12.75" customHeight="1" s="55">
      <c r="B87" s="77" t="n"/>
      <c r="C87" s="77" t="n"/>
    </row>
    <row r="88" ht="12.75" customHeight="1" s="55">
      <c r="B88" s="77" t="n"/>
      <c r="C88" s="77" t="n"/>
    </row>
    <row r="89" ht="12.75" customHeight="1" s="55">
      <c r="B89" s="77" t="n"/>
      <c r="C89" s="77" t="n"/>
    </row>
    <row r="90" ht="12.75" customHeight="1" s="55">
      <c r="B90" s="77" t="n"/>
      <c r="C90" s="77" t="n"/>
    </row>
    <row r="91" ht="39" customHeight="1" s="55">
      <c r="B91" s="77" t="n"/>
      <c r="C91" s="77" t="n"/>
      <c r="E91" s="71" t="inlineStr">
        <is>
          <t>Total No. of Students</t>
        </is>
      </c>
      <c r="F91" s="71" t="n">
        <v>71</v>
      </c>
      <c r="G91" s="71" t="n"/>
      <c r="H91" s="71" t="n"/>
      <c r="I91" s="71" t="n"/>
      <c r="J91" s="71" t="n"/>
      <c r="K91" s="71" t="n"/>
      <c r="L91" s="71" t="n"/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</row>
    <row r="92" ht="39" customHeight="1" s="55">
      <c r="B92" s="77" t="n"/>
      <c r="C92" s="77" t="n"/>
      <c r="E92" s="71" t="inlineStr">
        <is>
          <t>Total No. of Presentees</t>
        </is>
      </c>
      <c r="F92" s="71">
        <f>COUNTIF(F13:F82,"P")</f>
        <v/>
      </c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</row>
    <row r="93" ht="39" customHeight="1" s="55">
      <c r="B93" s="77" t="n"/>
      <c r="C93" s="77" t="n"/>
      <c r="E93" s="71" t="inlineStr">
        <is>
          <t>Total No. of Absentees</t>
        </is>
      </c>
      <c r="F93" s="71">
        <f>COUNTIF(F13:F82,"A")</f>
        <v/>
      </c>
      <c r="G93" s="71" t="n"/>
      <c r="H93" s="71" t="n"/>
      <c r="I93" s="71" t="n"/>
      <c r="J93" s="71" t="n"/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</row>
    <row r="94" ht="39" customHeight="1" s="55">
      <c r="B94" s="77" t="n"/>
      <c r="C94" s="77" t="n"/>
      <c r="E94" s="71" t="inlineStr">
        <is>
          <t>Presentees Percentage</t>
        </is>
      </c>
      <c r="F94" s="71">
        <f>SUM((F92/F91)*100)</f>
        <v/>
      </c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1" t="n"/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  <c r="BJ94" s="71" t="n"/>
    </row>
    <row r="95" ht="39" customHeight="1" s="55">
      <c r="B95" s="77" t="n"/>
      <c r="C95" s="77" t="n"/>
      <c r="E95" s="71" t="inlineStr">
        <is>
          <t>Absentees Percentage</t>
        </is>
      </c>
      <c r="F95" s="71">
        <f>SUM((F93/F91)*100)</f>
        <v/>
      </c>
      <c r="G95" s="71" t="n"/>
      <c r="H95" s="71" t="n"/>
      <c r="I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  <c r="BJ95" s="71" t="n"/>
    </row>
    <row r="96" ht="12.75" customHeight="1" s="55">
      <c r="B96" s="77" t="n"/>
      <c r="C96" s="77" t="n"/>
    </row>
    <row r="97" ht="12.75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2">
    <mergeCell ref="A7:I7"/>
    <mergeCell ref="F10:N10"/>
    <mergeCell ref="A2:AX2"/>
    <mergeCell ref="B11:B12"/>
    <mergeCell ref="A1:AX1"/>
    <mergeCell ref="C11:C12"/>
    <mergeCell ref="D11:D12"/>
    <mergeCell ref="A8:E8"/>
    <mergeCell ref="E11:E12"/>
    <mergeCell ref="F11:BH11"/>
    <mergeCell ref="A11:A12"/>
    <mergeCell ref="A3:AX3"/>
  </mergeCells>
  <conditionalFormatting sqref="B13:B83">
    <cfRule type="expression" rank="0" priority="2" equalAverage="0" aboveAverage="0" dxfId="0" text="" percent="0" bottom="0">
      <formula>AND(COUNTIF($B$10:$B$22,B13)+COUNTIF($B$24:$B$62,B13)&gt;1,NOT(ISBLANK(B13)))</formula>
    </cfRule>
  </conditionalFormatting>
  <hyperlinks>
    <hyperlink xmlns:r="http://schemas.openxmlformats.org/officeDocument/2006/relationships" ref="AU7" display="ug2024-it@ssn.edu.in 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2:R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8" customWidth="1" style="54" min="1" max="1"/>
    <col width="14.38" customWidth="1" style="54" min="2" max="2"/>
    <col width="54" customWidth="1" style="54" min="3" max="3"/>
    <col width="57.63" customWidth="1" style="54" min="4" max="4"/>
    <col width="17.88" customWidth="1" style="54" min="5" max="5"/>
    <col width="21.63" customWidth="1" style="54" min="6" max="6"/>
    <col width="15.13" customWidth="1" style="54" min="7" max="7"/>
    <col width="8" customWidth="1" style="54" min="8" max="26"/>
  </cols>
  <sheetData>
    <row r="1" ht="12.75" customHeight="1" s="55"/>
    <row r="2" ht="12.75" customHeight="1" s="55">
      <c r="C2" s="94" t="inlineStr">
        <is>
          <t>SUBJECTWISE SUMMARY SHEET</t>
        </is>
      </c>
    </row>
    <row r="3" ht="12.75" customHeight="1" s="55"/>
    <row r="4" ht="12.75" customHeight="1" s="55">
      <c r="A4" s="95" t="inlineStr">
        <is>
          <t>Class &amp; Section : V SEM  IT A</t>
        </is>
      </c>
    </row>
    <row r="5" ht="12.75" customHeight="1" s="55">
      <c r="B5" s="71" t="inlineStr">
        <is>
          <t>Subject code</t>
        </is>
      </c>
      <c r="C5" s="71" t="inlineStr">
        <is>
          <t>Subject Name</t>
        </is>
      </c>
      <c r="D5" s="71" t="inlineStr">
        <is>
          <t xml:space="preserve">Faculty Name </t>
        </is>
      </c>
      <c r="E5" s="71" t="inlineStr">
        <is>
          <t>Total No of students</t>
        </is>
      </c>
      <c r="F5" s="71" t="inlineStr">
        <is>
          <t>Total No of Presentees</t>
        </is>
      </c>
      <c r="G5" s="71" t="inlineStr">
        <is>
          <t>Percentage</t>
        </is>
      </c>
    </row>
    <row r="6" ht="15" customHeight="1" s="55">
      <c r="B6" s="96" t="inlineStr">
        <is>
          <t>UIT3561</t>
        </is>
      </c>
      <c r="C6" s="97" t="inlineStr">
        <is>
          <t>Full Stack Web Development</t>
        </is>
      </c>
      <c r="D6" s="98" t="inlineStr">
        <is>
          <t>Mr. Sankar Santhamoorthy(T) &amp; Dr. K. R. Uthayan(P)</t>
        </is>
      </c>
      <c r="E6" s="71">
        <f>UIT3561!F91</f>
        <v/>
      </c>
      <c r="F6" s="71">
        <f>UIT3561!F92</f>
        <v/>
      </c>
      <c r="G6" s="71">
        <f>SUM((F6/E6)*100)</f>
        <v/>
      </c>
    </row>
    <row r="7" ht="15" customHeight="1" s="55">
      <c r="B7" s="96" t="inlineStr">
        <is>
          <t>UIT3562</t>
        </is>
      </c>
      <c r="C7" s="97" t="inlineStr">
        <is>
          <t>Principles of Operating Systems</t>
        </is>
      </c>
      <c r="D7" s="98" t="inlineStr">
        <is>
          <t>Dr. I. Joe Louis Paul(T) &amp; Dr. S. Mohanavalli(P)</t>
        </is>
      </c>
      <c r="E7" s="71">
        <f>UIT3562!F91</f>
        <v/>
      </c>
      <c r="F7" s="71">
        <f>UIT3562!F92</f>
        <v/>
      </c>
      <c r="G7" s="71">
        <f>SUM((F7/E7)*100)</f>
        <v/>
      </c>
    </row>
    <row r="8" ht="15" customHeight="1" s="55">
      <c r="B8" s="96" t="inlineStr">
        <is>
          <t>UIT3563</t>
        </is>
      </c>
      <c r="C8" s="97" t="inlineStr">
        <is>
          <t>Deep Learning Concepts and Architectures</t>
        </is>
      </c>
      <c r="D8" s="98" t="inlineStr">
        <is>
          <t>Dr. Nepoleon Keisham(T) &amp; Dr. A. Shahina(P)</t>
        </is>
      </c>
      <c r="E8" s="71">
        <f>UIT3563!F91</f>
        <v/>
      </c>
      <c r="F8" s="71">
        <f>UIT3563!F92</f>
        <v/>
      </c>
      <c r="G8" s="71">
        <f>SUM((F8/E8)*100)</f>
        <v/>
      </c>
    </row>
    <row r="9" ht="15" customHeight="1" s="55">
      <c r="B9" s="96" t="inlineStr">
        <is>
          <t>UIT3501</t>
        </is>
      </c>
      <c r="C9" s="97" t="inlineStr">
        <is>
          <t>Automata Theory and Compiler Design</t>
        </is>
      </c>
      <c r="D9" s="98" t="inlineStr">
        <is>
          <t>Dr. P. Vasuki</t>
        </is>
      </c>
      <c r="E9" s="71">
        <f>UIT3501!F91</f>
        <v/>
      </c>
      <c r="F9" s="71">
        <f>UIT3501!F92</f>
        <v/>
      </c>
      <c r="G9" s="71">
        <f>SUM((F9/E9)*100)</f>
        <v/>
      </c>
    </row>
    <row r="10" ht="15" customHeight="1" s="55">
      <c r="B10" s="96" t="inlineStr">
        <is>
          <t>UIT3515</t>
        </is>
      </c>
      <c r="C10" s="97" t="inlineStr">
        <is>
          <t>Dev Ops</t>
        </is>
      </c>
      <c r="D10" s="99" t="inlineStr">
        <is>
          <t>External Expert</t>
        </is>
      </c>
      <c r="E10" s="71">
        <f>UIT3515!F91</f>
        <v/>
      </c>
      <c r="F10" s="71">
        <f>UIT3515!F92</f>
        <v/>
      </c>
      <c r="G10" s="71">
        <f>SUM((F10/E10)*100)</f>
        <v/>
      </c>
    </row>
    <row r="11" ht="15" customHeight="1" s="55">
      <c r="B11" s="96" t="inlineStr">
        <is>
          <t>UIT3519</t>
        </is>
      </c>
      <c r="C11" s="97" t="inlineStr">
        <is>
          <t>Introduction to Cyber Security</t>
        </is>
      </c>
      <c r="D11" s="99" t="inlineStr">
        <is>
          <t>External Expert</t>
        </is>
      </c>
      <c r="E11" s="71">
        <f>UIT3519!F91</f>
        <v/>
      </c>
      <c r="F11" s="71">
        <f>UIT3519!F92</f>
        <v/>
      </c>
      <c r="G11" s="71">
        <f>SUM((F11/E11)*100)</f>
        <v/>
      </c>
    </row>
    <row r="12" ht="57" customHeight="1" s="55">
      <c r="B12" s="96" t="inlineStr">
        <is>
          <t>UIT3517</t>
        </is>
      </c>
      <c r="C12" s="97" t="inlineStr">
        <is>
          <t>Mini Project (Software Development Project – II)</t>
        </is>
      </c>
      <c r="D12" s="99" t="inlineStr">
        <is>
          <t>Dr. A. Shahina, Dr. R. Srinivasan, Dr. S. Karthika, Dr. H. Sabireen,
Dr. Arige Sumanth, Dr. Mahabub Hasan Mahalat, Dr. Irshed Hussain</t>
        </is>
      </c>
      <c r="E12" s="71">
        <f>UIT3517!F91</f>
        <v/>
      </c>
      <c r="F12" s="71">
        <f>UIT3517!F92</f>
        <v/>
      </c>
      <c r="G12" s="71">
        <f>SUM((F12/E12)*100)</f>
        <v/>
      </c>
    </row>
    <row r="13" ht="15" customHeight="1" s="55">
      <c r="B13" s="96" t="n"/>
      <c r="C13" s="97" t="n"/>
      <c r="D13" s="99" t="n"/>
      <c r="E13" s="71" t="n"/>
      <c r="F13" s="71" t="n"/>
      <c r="G13" s="71" t="n"/>
    </row>
    <row r="14" ht="15" customHeight="1" s="55">
      <c r="B14" s="96" t="n"/>
      <c r="C14" s="97" t="n"/>
      <c r="D14" s="99" t="n"/>
      <c r="E14" s="71" t="n"/>
      <c r="F14" s="71" t="n"/>
      <c r="G14" s="71" t="n"/>
    </row>
    <row r="15" ht="12.75" customHeight="1" s="55"/>
    <row r="16" ht="12.75" customHeight="1" s="55"/>
    <row r="17" ht="12.75" customHeight="1" s="55"/>
    <row r="18" ht="12.75" customHeight="1" s="55"/>
    <row r="19" ht="12.75" customHeight="1" s="55"/>
    <row r="20" ht="12.75" customHeight="1" s="55"/>
    <row r="21" ht="12.75" customHeight="1" s="55"/>
    <row r="22" ht="12.75" customHeight="1" s="55"/>
    <row r="23" ht="12.75" customHeight="1" s="55"/>
    <row r="24" ht="12.75" customHeight="1" s="55"/>
    <row r="25" ht="12.75" customHeight="1" s="55"/>
    <row r="26" ht="12.75" customHeight="1" s="55"/>
    <row r="27" ht="12.75" customHeight="1" s="55"/>
    <row r="28" ht="12.75" customHeight="1" s="55"/>
    <row r="29" ht="12.75" customHeight="1" s="55"/>
    <row r="30" ht="12.75" customHeight="1" s="55"/>
    <row r="31" ht="12.75" customHeight="1" s="55"/>
    <row r="32" ht="12.75" customHeight="1" s="55"/>
    <row r="33" ht="12.75" customHeight="1" s="55"/>
    <row r="34" ht="12.75" customHeight="1" s="55"/>
    <row r="35" ht="12.75" customHeight="1" s="55"/>
    <row r="36" ht="12.75" customHeight="1" s="55"/>
    <row r="37" ht="12.75" customHeight="1" s="55"/>
    <row r="38" ht="12.75" customHeight="1" s="55"/>
    <row r="39" ht="12.75" customHeight="1" s="55"/>
    <row r="40" ht="12.75" customHeight="1" s="55"/>
    <row r="41" ht="14.25" customHeight="1" s="55">
      <c r="R41" s="100" t="inlineStr">
        <is>
          <t>Dr. P. Jaish</t>
        </is>
      </c>
    </row>
    <row r="42" ht="14.25" customHeight="1" s="55">
      <c r="R42" s="100" t="inlineStr">
        <is>
          <t>Dr. S. I. Davis Presley</t>
        </is>
      </c>
    </row>
    <row r="43" ht="128.25" customHeight="1" s="55">
      <c r="R43" s="101" t="inlineStr">
        <is>
          <t>Dr. M. Mohamed Iqbal(T) &amp; Dr. Mahabub Hasan Mahalat(P)</t>
        </is>
      </c>
    </row>
    <row r="44" ht="14.25" customHeight="1" s="55">
      <c r="R44" s="100" t="inlineStr">
        <is>
          <t>Dr. N. Kalaichelvi</t>
        </is>
      </c>
    </row>
    <row r="45" ht="71.25" customHeight="1" s="55">
      <c r="R45" s="101" t="inlineStr">
        <is>
          <t>Dr. G. Sornavalli(T) &amp; Dr. N. Radha</t>
        </is>
      </c>
    </row>
    <row r="46" ht="14.25" customHeight="1" s="55">
      <c r="R46" s="100" t="inlineStr">
        <is>
          <t>Dr. V. Tamilmani</t>
        </is>
      </c>
    </row>
    <row r="47" ht="99.75" customHeight="1" s="55">
      <c r="R47" s="101" t="inlineStr">
        <is>
          <t>Dr. V. Sivamurugan(T) &amp; Dr. Arige Sumanth(P)</t>
        </is>
      </c>
    </row>
    <row r="48" ht="14.25" customHeight="1" s="55">
      <c r="R48" s="100" t="inlineStr">
        <is>
          <t>Dr. Arige Sumanth</t>
        </is>
      </c>
    </row>
    <row r="49" ht="57" customHeight="1" s="55">
      <c r="R49" s="101" t="inlineStr">
        <is>
          <t xml:space="preserve">Dr. N. Kalaichelvi &amp; Dr. P. Vasuki </t>
        </is>
      </c>
    </row>
    <row r="50" ht="28.5" customHeight="1" s="55">
      <c r="R50" s="101" t="inlineStr">
        <is>
          <t>External Expert</t>
        </is>
      </c>
    </row>
    <row r="51" ht="12.75" customHeight="1" s="55"/>
    <row r="52" ht="12.75" customHeight="1" s="55"/>
    <row r="53" ht="12.75" customHeight="1" s="55"/>
    <row r="54" ht="12.75" customHeight="1" s="55"/>
    <row r="55" ht="12.75" customHeight="1" s="55"/>
    <row r="56" ht="12.75" customHeight="1" s="55"/>
    <row r="57" ht="12.75" customHeight="1" s="55"/>
    <row r="58" ht="12.75" customHeight="1" s="55"/>
    <row r="59" ht="12.75" customHeight="1" s="55"/>
    <row r="60" ht="12.75" customHeight="1" s="55"/>
    <row r="61" ht="12.75" customHeight="1" s="55"/>
    <row r="62" ht="12.75" customHeight="1" s="55"/>
    <row r="63" ht="12.75" customHeight="1" s="55"/>
    <row r="64" ht="12.75" customHeight="1" s="55"/>
    <row r="65" ht="12.75" customHeight="1" s="55"/>
    <row r="66" ht="12.75" customHeight="1" s="55"/>
    <row r="67" ht="12.75" customHeight="1" s="55"/>
    <row r="68" ht="12.75" customHeight="1" s="55"/>
    <row r="69" ht="12.75" customHeight="1" s="55"/>
    <row r="70" ht="12.75" customHeight="1" s="55"/>
    <row r="71" ht="12.75" customHeight="1" s="55"/>
    <row r="72" ht="12.75" customHeight="1" s="55"/>
    <row r="73" ht="12.75" customHeight="1" s="55"/>
    <row r="74" ht="12.75" customHeight="1" s="55"/>
    <row r="75" ht="12.75" customHeight="1" s="55"/>
    <row r="76" ht="12.75" customHeight="1" s="55"/>
    <row r="77" ht="12.75" customHeight="1" s="55"/>
    <row r="78" ht="12.75" customHeight="1" s="55"/>
    <row r="79" ht="12.75" customHeight="1" s="55"/>
    <row r="80" ht="12.75" customHeight="1" s="55"/>
    <row r="81" ht="12.75" customHeight="1" s="55"/>
    <row r="82" ht="12.75" customHeight="1" s="55"/>
    <row r="83" ht="12.75" customHeight="1" s="55"/>
    <row r="84" ht="12.75" customHeight="1" s="55"/>
    <row r="85" ht="12.75" customHeight="1" s="55"/>
    <row r="86" ht="12.75" customHeight="1" s="55"/>
    <row r="87" ht="12.75" customHeight="1" s="55"/>
    <row r="88" ht="12.75" customHeight="1" s="55"/>
    <row r="89" ht="12.75" customHeight="1" s="55"/>
    <row r="90" ht="12.75" customHeight="1" s="55"/>
    <row r="91" ht="12.75" customHeight="1" s="55"/>
    <row r="92" ht="12.75" customHeight="1" s="55"/>
    <row r="93" ht="12.75" customHeight="1" s="55"/>
    <row r="94" ht="12.75" customHeight="1" s="55"/>
    <row r="95" ht="12.75" customHeight="1" s="55"/>
    <row r="96" ht="12.75" customHeight="1" s="55"/>
    <row r="97" ht="12.75" customHeight="1" s="55"/>
    <row r="98" ht="12.75" customHeight="1" s="55"/>
    <row r="99" ht="12.75" customHeight="1" s="55"/>
    <row r="100" ht="12.75" customHeight="1" s="55"/>
    <row r="101" ht="12.75" customHeight="1" s="55"/>
    <row r="102" ht="12.75" customHeight="1" s="55"/>
    <row r="103" ht="12.75" customHeight="1" s="55"/>
    <row r="104" ht="12.75" customHeight="1" s="55"/>
    <row r="105" ht="12.75" customHeight="1" s="55"/>
    <row r="106" ht="12.75" customHeight="1" s="55"/>
    <row r="107" ht="12.75" customHeight="1" s="55"/>
    <row r="108" ht="12.75" customHeight="1" s="55"/>
    <row r="109" ht="12.75" customHeight="1" s="55"/>
    <row r="110" ht="12.75" customHeight="1" s="55"/>
    <row r="111" ht="12.75" customHeight="1" s="55"/>
    <row r="112" ht="12.75" customHeight="1" s="55"/>
    <row r="113" ht="12.75" customHeight="1" s="55"/>
    <row r="114" ht="12.75" customHeight="1" s="55"/>
    <row r="115" ht="12.75" customHeight="1" s="55"/>
    <row r="116" ht="12.75" customHeight="1" s="55"/>
    <row r="117" ht="12.75" customHeight="1" s="55"/>
    <row r="118" ht="12.75" customHeight="1" s="55"/>
    <row r="119" ht="12.75" customHeight="1" s="55"/>
    <row r="120" ht="12.75" customHeight="1" s="55"/>
    <row r="121" ht="12.75" customHeight="1" s="55"/>
    <row r="122" ht="12.75" customHeight="1" s="55"/>
    <row r="123" ht="12.75" customHeight="1" s="55"/>
    <row r="124" ht="12.75" customHeight="1" s="55"/>
    <row r="125" ht="12.75" customHeight="1" s="55"/>
    <row r="126" ht="12.75" customHeight="1" s="55"/>
    <row r="127" ht="12.75" customHeight="1" s="55"/>
    <row r="128" ht="12.75" customHeight="1" s="55"/>
    <row r="129" ht="12.75" customHeight="1" s="55"/>
    <row r="130" ht="12.75" customHeight="1" s="55"/>
    <row r="131" ht="12.75" customHeight="1" s="55"/>
    <row r="132" ht="12.75" customHeight="1" s="55"/>
    <row r="133" ht="12.75" customHeight="1" s="55"/>
    <row r="134" ht="12.75" customHeight="1" s="55"/>
    <row r="135" ht="12.75" customHeight="1" s="55"/>
    <row r="136" ht="12.75" customHeight="1" s="55"/>
    <row r="137" ht="12.75" customHeight="1" s="55"/>
    <row r="138" ht="12.75" customHeight="1" s="55"/>
    <row r="139" ht="12.75" customHeight="1" s="55"/>
    <row r="140" ht="12.75" customHeight="1" s="55"/>
    <row r="141" ht="12.75" customHeight="1" s="55"/>
    <row r="142" ht="12.75" customHeight="1" s="55"/>
    <row r="143" ht="12.75" customHeight="1" s="55"/>
    <row r="144" ht="12.75" customHeight="1" s="55"/>
    <row r="145" ht="12.75" customHeight="1" s="55"/>
    <row r="146" ht="12.75" customHeight="1" s="55"/>
    <row r="147" ht="12.75" customHeight="1" s="55"/>
    <row r="148" ht="12.75" customHeight="1" s="55"/>
    <row r="149" ht="12.75" customHeight="1" s="55"/>
    <row r="150" ht="12.75" customHeight="1" s="55"/>
    <row r="151" ht="12.75" customHeight="1" s="55"/>
    <row r="152" ht="12.75" customHeight="1" s="55"/>
    <row r="153" ht="12.75" customHeight="1" s="55"/>
    <row r="154" ht="12.75" customHeight="1" s="55"/>
    <row r="155" ht="12.75" customHeight="1" s="55"/>
    <row r="156" ht="12.75" customHeight="1" s="55"/>
    <row r="157" ht="12.75" customHeight="1" s="55"/>
    <row r="158" ht="12.75" customHeight="1" s="55"/>
    <row r="159" ht="12.75" customHeight="1" s="55"/>
    <row r="160" ht="12.75" customHeight="1" s="55"/>
    <row r="161" ht="12.75" customHeight="1" s="55"/>
    <row r="162" ht="12.75" customHeight="1" s="55"/>
    <row r="163" ht="12.75" customHeight="1" s="55"/>
    <row r="164" ht="12.75" customHeight="1" s="55"/>
    <row r="165" ht="12.75" customHeight="1" s="55"/>
    <row r="166" ht="12.75" customHeight="1" s="55"/>
    <row r="167" ht="12.75" customHeight="1" s="55"/>
    <row r="168" ht="12.75" customHeight="1" s="55"/>
    <row r="169" ht="12.75" customHeight="1" s="55"/>
    <row r="170" ht="12.75" customHeight="1" s="55"/>
    <row r="171" ht="12.75" customHeight="1" s="55"/>
    <row r="172" ht="12.75" customHeight="1" s="55"/>
    <row r="173" ht="12.75" customHeight="1" s="55"/>
    <row r="174" ht="12.75" customHeight="1" s="55"/>
    <row r="175" ht="12.75" customHeight="1" s="55"/>
    <row r="176" ht="12.75" customHeight="1" s="55"/>
    <row r="177" ht="12.75" customHeight="1" s="55"/>
    <row r="178" ht="12.75" customHeight="1" s="55"/>
    <row r="179" ht="12.75" customHeight="1" s="55"/>
    <row r="180" ht="12.75" customHeight="1" s="55"/>
    <row r="181" ht="12.75" customHeight="1" s="55"/>
    <row r="182" ht="12.75" customHeight="1" s="55"/>
    <row r="183" ht="12.75" customHeight="1" s="55"/>
    <row r="184" ht="12.75" customHeight="1" s="55"/>
    <row r="185" ht="12.75" customHeight="1" s="55"/>
    <row r="186" ht="12.75" customHeight="1" s="55"/>
    <row r="187" ht="12.75" customHeight="1" s="55"/>
    <row r="188" ht="12.75" customHeight="1" s="55"/>
    <row r="189" ht="12.75" customHeight="1" s="55"/>
    <row r="190" ht="12.75" customHeight="1" s="55"/>
    <row r="191" ht="12.75" customHeight="1" s="55"/>
    <row r="192" ht="12.75" customHeight="1" s="55"/>
    <row r="193" ht="12.75" customHeight="1" s="55"/>
    <row r="194" ht="12.75" customHeight="1" s="55"/>
    <row r="195" ht="12.75" customHeight="1" s="55"/>
    <row r="196" ht="12.75" customHeight="1" s="55"/>
    <row r="197" ht="12.75" customHeight="1" s="55"/>
    <row r="198" ht="12.75" customHeight="1" s="55"/>
    <row r="199" ht="12.75" customHeight="1" s="55"/>
    <row r="200" ht="12.75" customHeight="1" s="55"/>
    <row r="201" ht="12.75" customHeight="1" s="55"/>
    <row r="202" ht="12.75" customHeight="1" s="55"/>
    <row r="203" ht="12.75" customHeight="1" s="55"/>
    <row r="204" ht="12.75" customHeight="1" s="55"/>
    <row r="205" ht="12.75" customHeight="1" s="55"/>
    <row r="206" ht="12.75" customHeight="1" s="55"/>
    <row r="207" ht="12.75" customHeight="1" s="55"/>
    <row r="208" ht="12.75" customHeight="1" s="55"/>
    <row r="209" ht="12.75" customHeight="1" s="55"/>
    <row r="210" ht="12.75" customHeight="1" s="55"/>
    <row r="211" ht="12.75" customHeight="1" s="55"/>
    <row r="212" ht="12.75" customHeight="1" s="55"/>
    <row r="213" ht="12.75" customHeight="1" s="55"/>
    <row r="214" ht="12.75" customHeight="1" s="55"/>
    <row r="215" ht="12.75" customHeight="1" s="55"/>
    <row r="216" ht="12.75" customHeight="1" s="55"/>
    <row r="217" ht="12.75" customHeight="1" s="55"/>
    <row r="218" ht="12.75" customHeight="1" s="55"/>
    <row r="219" ht="12.75" customHeight="1" s="55"/>
    <row r="220" ht="12.75" customHeight="1" s="55"/>
    <row r="221" ht="12.75" customHeight="1" s="55"/>
    <row r="222" ht="12.75" customHeight="1" s="55"/>
    <row r="223" ht="12.75" customHeight="1" s="55"/>
    <row r="224" ht="12.75" customHeight="1" s="55"/>
    <row r="225" ht="12.75" customHeight="1" s="55"/>
    <row r="226" ht="12.75" customHeight="1" s="55"/>
    <row r="227" ht="12.75" customHeight="1" s="55"/>
    <row r="228" ht="12.75" customHeight="1" s="55"/>
    <row r="229" ht="12.75" customHeight="1" s="55"/>
    <row r="230" ht="12.75" customHeight="1" s="55"/>
    <row r="231" ht="12.75" customHeight="1" s="55"/>
    <row r="232" ht="12.75" customHeight="1" s="55"/>
    <row r="233" ht="12.75" customHeight="1" s="55"/>
    <row r="234" ht="12.75" customHeight="1" s="55"/>
    <row r="235" ht="12.75" customHeight="1" s="55"/>
    <row r="236" ht="12.75" customHeight="1" s="55"/>
    <row r="237" ht="12.75" customHeight="1" s="55"/>
    <row r="238" ht="12.75" customHeight="1" s="55"/>
    <row r="239" ht="12.75" customHeight="1" s="55"/>
    <row r="240" ht="12.75" customHeight="1" s="55"/>
    <row r="241" ht="12.75" customHeight="1" s="55"/>
    <row r="242" ht="12.75" customHeight="1" s="55"/>
    <row r="243" ht="12.75" customHeight="1" s="55"/>
    <row r="244" ht="12.75" customHeight="1" s="55"/>
    <row r="245" ht="12.75" customHeight="1" s="55"/>
    <row r="246" ht="12.75" customHeight="1" s="55"/>
    <row r="247" ht="12.75" customHeight="1" s="55"/>
    <row r="248" ht="12.75" customHeight="1" s="55"/>
    <row r="249" ht="12.75" customHeight="1" s="55"/>
    <row r="250" ht="12.75" customHeight="1" s="55"/>
    <row r="251" ht="12.75" customHeight="1" s="55"/>
    <row r="252" ht="12.75" customHeight="1" s="55"/>
    <row r="253" ht="12.75" customHeight="1" s="55"/>
    <row r="254" ht="12.75" customHeight="1" s="55"/>
    <row r="255" ht="12.75" customHeight="1" s="55"/>
    <row r="256" ht="12.75" customHeight="1" s="55"/>
    <row r="257" ht="12.75" customHeight="1" s="55"/>
    <row r="258" ht="12.75" customHeight="1" s="55"/>
    <row r="259" ht="12.75" customHeight="1" s="55"/>
    <row r="260" ht="12.75" customHeight="1" s="55"/>
    <row r="261" ht="12.75" customHeight="1" s="55"/>
    <row r="262" ht="12.75" customHeight="1" s="55"/>
    <row r="263" ht="12.75" customHeight="1" s="55"/>
    <row r="264" ht="12.75" customHeight="1" s="55"/>
    <row r="265" ht="12.75" customHeight="1" s="55"/>
    <row r="266" ht="12.75" customHeight="1" s="55"/>
    <row r="267" ht="12.75" customHeight="1" s="55"/>
    <row r="268" ht="12.75" customHeight="1" s="55"/>
    <row r="269" ht="12.75" customHeight="1" s="55"/>
    <row r="270" ht="12.75" customHeight="1" s="55"/>
    <row r="271" ht="12.75" customHeight="1" s="55"/>
    <row r="272" ht="12.75" customHeight="1" s="55"/>
    <row r="273" ht="12.75" customHeight="1" s="55"/>
    <row r="274" ht="12.75" customHeight="1" s="55"/>
    <row r="275" ht="12.75" customHeight="1" s="55"/>
    <row r="276" ht="12.75" customHeight="1" s="55"/>
    <row r="277" ht="12.75" customHeight="1" s="55"/>
    <row r="278" ht="12.75" customHeight="1" s="55"/>
    <row r="279" ht="12.75" customHeight="1" s="55"/>
    <row r="280" ht="12.75" customHeight="1" s="55"/>
    <row r="281" ht="12.75" customHeight="1" s="55"/>
    <row r="282" ht="12.75" customHeight="1" s="55"/>
    <row r="283" ht="12.75" customHeight="1" s="55"/>
    <row r="284" ht="12.75" customHeight="1" s="55"/>
    <row r="285" ht="12.75" customHeight="1" s="55"/>
    <row r="286" ht="12.75" customHeight="1" s="55"/>
    <row r="287" ht="12.75" customHeight="1" s="55"/>
    <row r="288" ht="12.75" customHeight="1" s="55"/>
    <row r="289" ht="12.75" customHeight="1" s="55"/>
    <row r="290" ht="12.75" customHeight="1" s="55"/>
    <row r="291" ht="12.75" customHeight="1" s="55"/>
    <row r="292" ht="12.75" customHeight="1" s="55"/>
    <row r="293" ht="12.75" customHeight="1" s="55"/>
    <row r="294" ht="12.75" customHeight="1" s="55"/>
    <row r="295" ht="12.75" customHeight="1" s="55"/>
    <row r="296" ht="12.75" customHeight="1" s="55"/>
    <row r="297" ht="12.75" customHeight="1" s="55"/>
    <row r="298" ht="12.75" customHeight="1" s="55"/>
    <row r="299" ht="12.75" customHeight="1" s="55"/>
    <row r="300" ht="12.75" customHeight="1" s="55"/>
    <row r="301" ht="12.75" customHeight="1" s="55"/>
    <row r="302" ht="12.75" customHeight="1" s="55"/>
    <row r="303" ht="12.75" customHeight="1" s="55"/>
    <row r="304" ht="12.75" customHeight="1" s="55"/>
    <row r="305" ht="12.75" customHeight="1" s="55"/>
    <row r="306" ht="12.75" customHeight="1" s="55"/>
    <row r="307" ht="12.75" customHeight="1" s="55"/>
    <row r="308" ht="12.75" customHeight="1" s="55"/>
    <row r="309" ht="12.75" customHeight="1" s="55"/>
    <row r="310" ht="12.75" customHeight="1" s="55"/>
    <row r="311" ht="12.75" customHeight="1" s="55"/>
    <row r="312" ht="12.75" customHeight="1" s="55"/>
    <row r="313" ht="12.75" customHeight="1" s="55"/>
    <row r="314" ht="12.75" customHeight="1" s="55"/>
    <row r="315" ht="12.75" customHeight="1" s="55"/>
    <row r="316" ht="12.75" customHeight="1" s="55"/>
    <row r="317" ht="12.75" customHeight="1" s="55"/>
    <row r="318" ht="12.75" customHeight="1" s="55"/>
    <row r="319" ht="12.75" customHeight="1" s="55"/>
    <row r="320" ht="12.75" customHeight="1" s="55"/>
    <row r="321" ht="12.75" customHeight="1" s="55"/>
    <row r="322" ht="12.75" customHeight="1" s="55"/>
    <row r="323" ht="12.75" customHeight="1" s="55"/>
    <row r="324" ht="12.75" customHeight="1" s="55"/>
    <row r="325" ht="12.75" customHeight="1" s="55"/>
    <row r="326" ht="12.75" customHeight="1" s="55"/>
    <row r="327" ht="12.75" customHeight="1" s="55"/>
    <row r="328" ht="12.75" customHeight="1" s="55"/>
    <row r="329" ht="12.75" customHeight="1" s="55"/>
    <row r="330" ht="12.75" customHeight="1" s="55"/>
    <row r="331" ht="12.75" customHeight="1" s="55"/>
    <row r="332" ht="12.75" customHeight="1" s="55"/>
    <row r="333" ht="12.75" customHeight="1" s="55"/>
    <row r="334" ht="12.75" customHeight="1" s="55"/>
    <row r="335" ht="12.75" customHeight="1" s="55"/>
    <row r="336" ht="12.75" customHeight="1" s="55"/>
    <row r="337" ht="12.75" customHeight="1" s="55"/>
    <row r="338" ht="12.75" customHeight="1" s="55"/>
    <row r="339" ht="12.75" customHeight="1" s="55"/>
    <row r="340" ht="12.75" customHeight="1" s="55"/>
    <row r="341" ht="12.75" customHeight="1" s="55"/>
    <row r="342" ht="12.75" customHeight="1" s="55"/>
    <row r="343" ht="12.75" customHeight="1" s="55"/>
    <row r="344" ht="12.75" customHeight="1" s="55"/>
    <row r="345" ht="12.75" customHeight="1" s="55"/>
    <row r="346" ht="12.75" customHeight="1" s="55"/>
    <row r="347" ht="12.75" customHeight="1" s="55"/>
    <row r="348" ht="12.75" customHeight="1" s="55"/>
    <row r="349" ht="12.75" customHeight="1" s="55"/>
    <row r="350" ht="12.75" customHeight="1" s="55"/>
    <row r="351" ht="12.75" customHeight="1" s="55"/>
    <row r="352" ht="12.75" customHeight="1" s="55"/>
    <row r="353" ht="12.75" customHeight="1" s="55"/>
    <row r="354" ht="12.75" customHeight="1" s="55"/>
    <row r="355" ht="12.75" customHeight="1" s="55"/>
    <row r="356" ht="12.75" customHeight="1" s="55"/>
    <row r="357" ht="12.75" customHeight="1" s="55"/>
    <row r="358" ht="12.75" customHeight="1" s="55"/>
    <row r="359" ht="12.75" customHeight="1" s="55"/>
    <row r="360" ht="12.75" customHeight="1" s="55"/>
    <row r="361" ht="12.75" customHeight="1" s="55"/>
    <row r="362" ht="12.75" customHeight="1" s="55"/>
    <row r="363" ht="12.75" customHeight="1" s="55"/>
    <row r="364" ht="12.75" customHeight="1" s="55"/>
    <row r="365" ht="12.75" customHeight="1" s="55"/>
    <row r="366" ht="12.75" customHeight="1" s="55"/>
    <row r="367" ht="12.75" customHeight="1" s="55"/>
    <row r="368" ht="12.75" customHeight="1" s="55"/>
    <row r="369" ht="12.75" customHeight="1" s="55"/>
    <row r="370" ht="12.75" customHeight="1" s="55"/>
    <row r="371" ht="12.75" customHeight="1" s="55"/>
    <row r="372" ht="12.75" customHeight="1" s="55"/>
    <row r="373" ht="12.75" customHeight="1" s="55"/>
    <row r="374" ht="12.75" customHeight="1" s="55"/>
    <row r="375" ht="12.75" customHeight="1" s="55"/>
    <row r="376" ht="12.75" customHeight="1" s="55"/>
    <row r="377" ht="12.75" customHeight="1" s="55"/>
    <row r="378" ht="12.75" customHeight="1" s="55"/>
    <row r="379" ht="12.75" customHeight="1" s="55"/>
    <row r="380" ht="12.75" customHeight="1" s="55"/>
    <row r="381" ht="12.75" customHeight="1" s="55"/>
    <row r="382" ht="12.75" customHeight="1" s="55"/>
    <row r="383" ht="12.75" customHeight="1" s="55"/>
    <row r="384" ht="12.75" customHeight="1" s="55"/>
    <row r="385" ht="12.75" customHeight="1" s="55"/>
    <row r="386" ht="12.75" customHeight="1" s="55"/>
    <row r="387" ht="12.75" customHeight="1" s="55"/>
    <row r="388" ht="12.75" customHeight="1" s="55"/>
    <row r="389" ht="12.75" customHeight="1" s="55"/>
    <row r="390" ht="12.75" customHeight="1" s="55"/>
    <row r="391" ht="12.75" customHeight="1" s="55"/>
    <row r="392" ht="12.75" customHeight="1" s="55"/>
    <row r="393" ht="12.75" customHeight="1" s="55"/>
    <row r="394" ht="12.75" customHeight="1" s="55"/>
    <row r="395" ht="12.75" customHeight="1" s="55"/>
    <row r="396" ht="12.75" customHeight="1" s="55"/>
    <row r="397" ht="12.75" customHeight="1" s="55"/>
    <row r="398" ht="12.75" customHeight="1" s="55"/>
    <row r="399" ht="12.75" customHeight="1" s="55"/>
    <row r="400" ht="12.75" customHeight="1" s="55"/>
    <row r="401" ht="12.75" customHeight="1" s="55"/>
    <row r="402" ht="12.75" customHeight="1" s="55"/>
    <row r="403" ht="12.75" customHeight="1" s="55"/>
    <row r="404" ht="12.75" customHeight="1" s="55"/>
    <row r="405" ht="12.75" customHeight="1" s="55"/>
    <row r="406" ht="12.75" customHeight="1" s="55"/>
    <row r="407" ht="12.75" customHeight="1" s="55"/>
    <row r="408" ht="12.75" customHeight="1" s="55"/>
    <row r="409" ht="12.75" customHeight="1" s="55"/>
    <row r="410" ht="12.75" customHeight="1" s="55"/>
    <row r="411" ht="12.75" customHeight="1" s="55"/>
    <row r="412" ht="12.75" customHeight="1" s="55"/>
    <row r="413" ht="12.75" customHeight="1" s="55"/>
    <row r="414" ht="12.75" customHeight="1" s="55"/>
    <row r="415" ht="12.75" customHeight="1" s="55"/>
    <row r="416" ht="12.75" customHeight="1" s="55"/>
    <row r="417" ht="12.75" customHeight="1" s="55"/>
    <row r="418" ht="12.75" customHeight="1" s="55"/>
    <row r="419" ht="12.75" customHeight="1" s="55"/>
    <row r="420" ht="12.75" customHeight="1" s="55"/>
    <row r="421" ht="12.75" customHeight="1" s="55"/>
    <row r="422" ht="12.75" customHeight="1" s="55"/>
    <row r="423" ht="12.75" customHeight="1" s="55"/>
    <row r="424" ht="12.75" customHeight="1" s="55"/>
    <row r="425" ht="12.75" customHeight="1" s="55"/>
    <row r="426" ht="12.75" customHeight="1" s="55"/>
    <row r="427" ht="12.75" customHeight="1" s="55"/>
    <row r="428" ht="12.75" customHeight="1" s="55"/>
    <row r="429" ht="12.75" customHeight="1" s="55"/>
    <row r="430" ht="12.75" customHeight="1" s="55"/>
    <row r="431" ht="12.75" customHeight="1" s="55"/>
    <row r="432" ht="12.75" customHeight="1" s="55"/>
    <row r="433" ht="12.75" customHeight="1" s="55"/>
    <row r="434" ht="12.75" customHeight="1" s="55"/>
    <row r="435" ht="12.75" customHeight="1" s="55"/>
    <row r="436" ht="12.75" customHeight="1" s="55"/>
    <row r="437" ht="12.75" customHeight="1" s="55"/>
    <row r="438" ht="12.75" customHeight="1" s="55"/>
    <row r="439" ht="12.75" customHeight="1" s="55"/>
    <row r="440" ht="12.75" customHeight="1" s="55"/>
    <row r="441" ht="12.75" customHeight="1" s="55"/>
    <row r="442" ht="12.75" customHeight="1" s="55"/>
    <row r="443" ht="12.75" customHeight="1" s="55"/>
    <row r="444" ht="12.75" customHeight="1" s="55"/>
    <row r="445" ht="12.75" customHeight="1" s="55"/>
    <row r="446" ht="12.75" customHeight="1" s="55"/>
    <row r="447" ht="12.75" customHeight="1" s="55"/>
    <row r="448" ht="12.75" customHeight="1" s="55"/>
    <row r="449" ht="12.75" customHeight="1" s="55"/>
    <row r="450" ht="12.75" customHeight="1" s="55"/>
    <row r="451" ht="12.75" customHeight="1" s="55"/>
    <row r="452" ht="12.75" customHeight="1" s="55"/>
    <row r="453" ht="12.75" customHeight="1" s="55"/>
    <row r="454" ht="12.75" customHeight="1" s="55"/>
    <row r="455" ht="12.75" customHeight="1" s="55"/>
    <row r="456" ht="12.75" customHeight="1" s="55"/>
    <row r="457" ht="12.75" customHeight="1" s="55"/>
    <row r="458" ht="12.75" customHeight="1" s="55"/>
    <row r="459" ht="12.75" customHeight="1" s="55"/>
    <row r="460" ht="12.75" customHeight="1" s="55"/>
    <row r="461" ht="12.75" customHeight="1" s="55"/>
    <row r="462" ht="12.75" customHeight="1" s="55"/>
    <row r="463" ht="12.75" customHeight="1" s="55"/>
    <row r="464" ht="12.75" customHeight="1" s="55"/>
    <row r="465" ht="12.75" customHeight="1" s="55"/>
    <row r="466" ht="12.75" customHeight="1" s="55"/>
    <row r="467" ht="12.75" customHeight="1" s="55"/>
    <row r="468" ht="12.75" customHeight="1" s="55"/>
    <row r="469" ht="12.75" customHeight="1" s="55"/>
    <row r="470" ht="12.75" customHeight="1" s="55"/>
    <row r="471" ht="12.75" customHeight="1" s="55"/>
    <row r="472" ht="12.75" customHeight="1" s="55"/>
    <row r="473" ht="12.75" customHeight="1" s="55"/>
    <row r="474" ht="12.75" customHeight="1" s="55"/>
    <row r="475" ht="12.75" customHeight="1" s="55"/>
    <row r="476" ht="12.75" customHeight="1" s="55"/>
    <row r="477" ht="12.75" customHeight="1" s="55"/>
    <row r="478" ht="12.75" customHeight="1" s="55"/>
    <row r="479" ht="12.75" customHeight="1" s="55"/>
    <row r="480" ht="12.75" customHeight="1" s="55"/>
    <row r="481" ht="12.75" customHeight="1" s="55"/>
    <row r="482" ht="12.75" customHeight="1" s="55"/>
    <row r="483" ht="12.75" customHeight="1" s="55"/>
    <row r="484" ht="12.75" customHeight="1" s="55"/>
    <row r="485" ht="12.75" customHeight="1" s="55"/>
    <row r="486" ht="12.75" customHeight="1" s="55"/>
    <row r="487" ht="12.75" customHeight="1" s="55"/>
    <row r="488" ht="12.75" customHeight="1" s="55"/>
    <row r="489" ht="12.75" customHeight="1" s="55"/>
    <row r="490" ht="12.75" customHeight="1" s="55"/>
    <row r="491" ht="12.75" customHeight="1" s="55"/>
    <row r="492" ht="12.75" customHeight="1" s="55"/>
    <row r="493" ht="12.75" customHeight="1" s="55"/>
    <row r="494" ht="12.75" customHeight="1" s="55"/>
    <row r="495" ht="12.75" customHeight="1" s="55"/>
    <row r="496" ht="12.75" customHeight="1" s="55"/>
    <row r="497" ht="12.75" customHeight="1" s="55"/>
    <row r="498" ht="12.75" customHeight="1" s="55"/>
    <row r="499" ht="12.75" customHeight="1" s="55"/>
    <row r="500" ht="12.75" customHeight="1" s="55"/>
    <row r="501" ht="12.75" customHeight="1" s="55"/>
    <row r="502" ht="12.75" customHeight="1" s="55"/>
    <row r="503" ht="12.75" customHeight="1" s="55"/>
    <row r="504" ht="12.75" customHeight="1" s="55"/>
    <row r="505" ht="12.75" customHeight="1" s="55"/>
    <row r="506" ht="12.75" customHeight="1" s="55"/>
    <row r="507" ht="12.75" customHeight="1" s="55"/>
    <row r="508" ht="12.75" customHeight="1" s="55"/>
    <row r="509" ht="12.75" customHeight="1" s="55"/>
    <row r="510" ht="12.75" customHeight="1" s="55"/>
    <row r="511" ht="12.75" customHeight="1" s="55"/>
    <row r="512" ht="12.75" customHeight="1" s="55"/>
    <row r="513" ht="12.75" customHeight="1" s="55"/>
    <row r="514" ht="12.75" customHeight="1" s="55"/>
    <row r="515" ht="12.75" customHeight="1" s="55"/>
    <row r="516" ht="12.75" customHeight="1" s="55"/>
    <row r="517" ht="12.75" customHeight="1" s="55"/>
    <row r="518" ht="12.75" customHeight="1" s="55"/>
    <row r="519" ht="12.75" customHeight="1" s="55"/>
    <row r="520" ht="12.75" customHeight="1" s="55"/>
    <row r="521" ht="12.75" customHeight="1" s="55"/>
    <row r="522" ht="12.75" customHeight="1" s="55"/>
    <row r="523" ht="12.75" customHeight="1" s="55"/>
    <row r="524" ht="12.75" customHeight="1" s="55"/>
    <row r="525" ht="12.75" customHeight="1" s="55"/>
    <row r="526" ht="12.75" customHeight="1" s="55"/>
    <row r="527" ht="12.75" customHeight="1" s="55"/>
    <row r="528" ht="12.75" customHeight="1" s="55"/>
    <row r="529" ht="12.75" customHeight="1" s="55"/>
    <row r="530" ht="12.75" customHeight="1" s="55"/>
    <row r="531" ht="12.75" customHeight="1" s="55"/>
    <row r="532" ht="12.75" customHeight="1" s="55"/>
    <row r="533" ht="12.75" customHeight="1" s="55"/>
    <row r="534" ht="12.75" customHeight="1" s="55"/>
    <row r="535" ht="12.75" customHeight="1" s="55"/>
    <row r="536" ht="12.75" customHeight="1" s="55"/>
    <row r="537" ht="12.75" customHeight="1" s="55"/>
    <row r="538" ht="12.75" customHeight="1" s="55"/>
    <row r="539" ht="12.75" customHeight="1" s="55"/>
    <row r="540" ht="12.75" customHeight="1" s="55"/>
    <row r="541" ht="12.75" customHeight="1" s="55"/>
    <row r="542" ht="12.75" customHeight="1" s="55"/>
    <row r="543" ht="12.75" customHeight="1" s="55"/>
    <row r="544" ht="12.75" customHeight="1" s="55"/>
    <row r="545" ht="12.75" customHeight="1" s="55"/>
    <row r="546" ht="12.75" customHeight="1" s="55"/>
    <row r="547" ht="12.75" customHeight="1" s="55"/>
    <row r="548" ht="12.75" customHeight="1" s="55"/>
    <row r="549" ht="12.75" customHeight="1" s="55"/>
    <row r="550" ht="12.75" customHeight="1" s="55"/>
    <row r="551" ht="12.75" customHeight="1" s="55"/>
    <row r="552" ht="12.75" customHeight="1" s="55"/>
    <row r="553" ht="12.75" customHeight="1" s="55"/>
    <row r="554" ht="12.75" customHeight="1" s="55"/>
    <row r="555" ht="12.75" customHeight="1" s="55"/>
    <row r="556" ht="12.75" customHeight="1" s="55"/>
    <row r="557" ht="12.75" customHeight="1" s="55"/>
    <row r="558" ht="12.75" customHeight="1" s="55"/>
    <row r="559" ht="12.75" customHeight="1" s="55"/>
    <row r="560" ht="12.75" customHeight="1" s="55"/>
    <row r="561" ht="12.75" customHeight="1" s="55"/>
    <row r="562" ht="12.75" customHeight="1" s="55"/>
    <row r="563" ht="12.75" customHeight="1" s="55"/>
    <row r="564" ht="12.75" customHeight="1" s="55"/>
    <row r="565" ht="12.75" customHeight="1" s="55"/>
    <row r="566" ht="12.75" customHeight="1" s="55"/>
    <row r="567" ht="12.75" customHeight="1" s="55"/>
    <row r="568" ht="12.75" customHeight="1" s="55"/>
    <row r="569" ht="12.75" customHeight="1" s="55"/>
    <row r="570" ht="12.75" customHeight="1" s="55"/>
    <row r="571" ht="12.75" customHeight="1" s="55"/>
    <row r="572" ht="12.75" customHeight="1" s="55"/>
    <row r="573" ht="12.75" customHeight="1" s="55"/>
    <row r="574" ht="12.75" customHeight="1" s="55"/>
    <row r="575" ht="12.75" customHeight="1" s="55"/>
    <row r="576" ht="12.75" customHeight="1" s="55"/>
    <row r="577" ht="12.75" customHeight="1" s="55"/>
    <row r="578" ht="12.75" customHeight="1" s="55"/>
    <row r="579" ht="12.75" customHeight="1" s="55"/>
    <row r="580" ht="12.75" customHeight="1" s="55"/>
    <row r="581" ht="12.75" customHeight="1" s="55"/>
    <row r="582" ht="12.75" customHeight="1" s="55"/>
    <row r="583" ht="12.75" customHeight="1" s="55"/>
    <row r="584" ht="12.75" customHeight="1" s="55"/>
    <row r="585" ht="12.75" customHeight="1" s="55"/>
    <row r="586" ht="12.75" customHeight="1" s="55"/>
    <row r="587" ht="12.75" customHeight="1" s="55"/>
    <row r="588" ht="12.75" customHeight="1" s="55"/>
    <row r="589" ht="12.75" customHeight="1" s="55"/>
    <row r="590" ht="12.75" customHeight="1" s="55"/>
    <row r="591" ht="12.75" customHeight="1" s="55"/>
    <row r="592" ht="12.75" customHeight="1" s="55"/>
    <row r="593" ht="12.75" customHeight="1" s="55"/>
    <row r="594" ht="12.75" customHeight="1" s="55"/>
    <row r="595" ht="12.75" customHeight="1" s="55"/>
    <row r="596" ht="12.75" customHeight="1" s="55"/>
    <row r="597" ht="12.75" customHeight="1" s="55"/>
    <row r="598" ht="12.75" customHeight="1" s="55"/>
    <row r="599" ht="12.75" customHeight="1" s="55"/>
    <row r="600" ht="12.75" customHeight="1" s="55"/>
    <row r="601" ht="12.75" customHeight="1" s="55"/>
    <row r="602" ht="12.75" customHeight="1" s="55"/>
    <row r="603" ht="12.75" customHeight="1" s="55"/>
    <row r="604" ht="12.75" customHeight="1" s="55"/>
    <row r="605" ht="12.75" customHeight="1" s="55"/>
    <row r="606" ht="12.75" customHeight="1" s="55"/>
    <row r="607" ht="12.75" customHeight="1" s="55"/>
    <row r="608" ht="12.75" customHeight="1" s="55"/>
    <row r="609" ht="12.75" customHeight="1" s="55"/>
    <row r="610" ht="12.75" customHeight="1" s="55"/>
    <row r="611" ht="12.75" customHeight="1" s="55"/>
    <row r="612" ht="12.75" customHeight="1" s="55"/>
    <row r="613" ht="12.75" customHeight="1" s="55"/>
    <row r="614" ht="12.75" customHeight="1" s="55"/>
    <row r="615" ht="12.75" customHeight="1" s="55"/>
    <row r="616" ht="12.75" customHeight="1" s="55"/>
    <row r="617" ht="12.75" customHeight="1" s="55"/>
    <row r="618" ht="12.75" customHeight="1" s="55"/>
    <row r="619" ht="12.75" customHeight="1" s="55"/>
    <row r="620" ht="12.75" customHeight="1" s="55"/>
    <row r="621" ht="12.75" customHeight="1" s="55"/>
    <row r="622" ht="12.75" customHeight="1" s="55"/>
    <row r="623" ht="12.75" customHeight="1" s="55"/>
    <row r="624" ht="12.75" customHeight="1" s="55"/>
    <row r="625" ht="12.75" customHeight="1" s="55"/>
    <row r="626" ht="12.75" customHeight="1" s="55"/>
    <row r="627" ht="12.75" customHeight="1" s="55"/>
    <row r="628" ht="12.75" customHeight="1" s="55"/>
    <row r="629" ht="12.75" customHeight="1" s="55"/>
    <row r="630" ht="12.75" customHeight="1" s="55"/>
    <row r="631" ht="12.75" customHeight="1" s="55"/>
    <row r="632" ht="12.75" customHeight="1" s="55"/>
    <row r="633" ht="12.75" customHeight="1" s="55"/>
    <row r="634" ht="12.75" customHeight="1" s="55"/>
    <row r="635" ht="12.75" customHeight="1" s="55"/>
    <row r="636" ht="12.75" customHeight="1" s="55"/>
    <row r="637" ht="12.75" customHeight="1" s="55"/>
    <row r="638" ht="12.75" customHeight="1" s="55"/>
    <row r="639" ht="12.75" customHeight="1" s="55"/>
    <row r="640" ht="12.75" customHeight="1" s="55"/>
    <row r="641" ht="12.75" customHeight="1" s="55"/>
    <row r="642" ht="12.75" customHeight="1" s="55"/>
    <row r="643" ht="12.75" customHeight="1" s="55"/>
    <row r="644" ht="12.75" customHeight="1" s="55"/>
    <row r="645" ht="12.75" customHeight="1" s="55"/>
    <row r="646" ht="12.75" customHeight="1" s="55"/>
    <row r="647" ht="12.75" customHeight="1" s="55"/>
    <row r="648" ht="12.75" customHeight="1" s="55"/>
    <row r="649" ht="12.75" customHeight="1" s="55"/>
    <row r="650" ht="12.75" customHeight="1" s="55"/>
    <row r="651" ht="12.75" customHeight="1" s="55"/>
    <row r="652" ht="12.75" customHeight="1" s="55"/>
    <row r="653" ht="12.75" customHeight="1" s="55"/>
    <row r="654" ht="12.75" customHeight="1" s="55"/>
    <row r="655" ht="12.75" customHeight="1" s="55"/>
    <row r="656" ht="12.75" customHeight="1" s="55"/>
    <row r="657" ht="12.75" customHeight="1" s="55"/>
    <row r="658" ht="12.75" customHeight="1" s="55"/>
    <row r="659" ht="12.75" customHeight="1" s="55"/>
    <row r="660" ht="12.75" customHeight="1" s="55"/>
    <row r="661" ht="12.75" customHeight="1" s="55"/>
    <row r="662" ht="12.75" customHeight="1" s="55"/>
    <row r="663" ht="12.75" customHeight="1" s="55"/>
    <row r="664" ht="12.75" customHeight="1" s="55"/>
    <row r="665" ht="12.75" customHeight="1" s="55"/>
    <row r="666" ht="12.75" customHeight="1" s="55"/>
    <row r="667" ht="12.75" customHeight="1" s="55"/>
    <row r="668" ht="12.75" customHeight="1" s="55"/>
    <row r="669" ht="12.75" customHeight="1" s="55"/>
    <row r="670" ht="12.75" customHeight="1" s="55"/>
    <row r="671" ht="12.75" customHeight="1" s="55"/>
    <row r="672" ht="12.75" customHeight="1" s="55"/>
    <row r="673" ht="12.75" customHeight="1" s="55"/>
    <row r="674" ht="12.75" customHeight="1" s="55"/>
    <row r="675" ht="12.75" customHeight="1" s="55"/>
    <row r="676" ht="12.75" customHeight="1" s="55"/>
    <row r="677" ht="12.75" customHeight="1" s="55"/>
    <row r="678" ht="12.75" customHeight="1" s="55"/>
    <row r="679" ht="12.75" customHeight="1" s="55"/>
    <row r="680" ht="12.75" customHeight="1" s="55"/>
    <row r="681" ht="12.75" customHeight="1" s="55"/>
    <row r="682" ht="12.75" customHeight="1" s="55"/>
    <row r="683" ht="12.75" customHeight="1" s="55"/>
    <row r="684" ht="12.75" customHeight="1" s="55"/>
    <row r="685" ht="12.75" customHeight="1" s="55"/>
    <row r="686" ht="12.75" customHeight="1" s="55"/>
    <row r="687" ht="12.75" customHeight="1" s="55"/>
    <row r="688" ht="12.75" customHeight="1" s="55"/>
    <row r="689" ht="12.75" customHeight="1" s="55"/>
    <row r="690" ht="12.75" customHeight="1" s="55"/>
    <row r="691" ht="12.75" customHeight="1" s="55"/>
    <row r="692" ht="12.75" customHeight="1" s="55"/>
    <row r="693" ht="12.75" customHeight="1" s="55"/>
    <row r="694" ht="12.75" customHeight="1" s="55"/>
    <row r="695" ht="12.75" customHeight="1" s="55"/>
    <row r="696" ht="12.75" customHeight="1" s="55"/>
    <row r="697" ht="12.75" customHeight="1" s="55"/>
    <row r="698" ht="12.75" customHeight="1" s="55"/>
    <row r="699" ht="12.75" customHeight="1" s="55"/>
    <row r="700" ht="12.75" customHeight="1" s="55"/>
    <row r="701" ht="12.75" customHeight="1" s="55"/>
    <row r="702" ht="12.75" customHeight="1" s="55"/>
    <row r="703" ht="12.75" customHeight="1" s="55"/>
    <row r="704" ht="12.75" customHeight="1" s="55"/>
    <row r="705" ht="12.75" customHeight="1" s="55"/>
    <row r="706" ht="12.75" customHeight="1" s="55"/>
    <row r="707" ht="12.75" customHeight="1" s="55"/>
    <row r="708" ht="12.75" customHeight="1" s="55"/>
    <row r="709" ht="12.75" customHeight="1" s="55"/>
    <row r="710" ht="12.75" customHeight="1" s="55"/>
    <row r="711" ht="12.75" customHeight="1" s="55"/>
    <row r="712" ht="12.75" customHeight="1" s="55"/>
    <row r="713" ht="12.75" customHeight="1" s="55"/>
    <row r="714" ht="12.75" customHeight="1" s="55"/>
    <row r="715" ht="12.75" customHeight="1" s="55"/>
    <row r="716" ht="12.75" customHeight="1" s="55"/>
    <row r="717" ht="12.75" customHeight="1" s="55"/>
    <row r="718" ht="12.75" customHeight="1" s="55"/>
    <row r="719" ht="12.75" customHeight="1" s="55"/>
    <row r="720" ht="12.75" customHeight="1" s="55"/>
    <row r="721" ht="12.75" customHeight="1" s="55"/>
    <row r="722" ht="12.75" customHeight="1" s="55"/>
    <row r="723" ht="12.75" customHeight="1" s="55"/>
    <row r="724" ht="12.75" customHeight="1" s="55"/>
    <row r="725" ht="12.75" customHeight="1" s="55"/>
    <row r="726" ht="12.75" customHeight="1" s="55"/>
    <row r="727" ht="12.75" customHeight="1" s="55"/>
    <row r="728" ht="12.75" customHeight="1" s="55"/>
    <row r="729" ht="12.75" customHeight="1" s="55"/>
    <row r="730" ht="12.75" customHeight="1" s="55"/>
    <row r="731" ht="12.75" customHeight="1" s="55"/>
    <row r="732" ht="12.75" customHeight="1" s="55"/>
    <row r="733" ht="12.75" customHeight="1" s="55"/>
    <row r="734" ht="12.75" customHeight="1" s="55"/>
    <row r="735" ht="12.75" customHeight="1" s="55"/>
    <row r="736" ht="12.75" customHeight="1" s="55"/>
    <row r="737" ht="12.75" customHeight="1" s="55"/>
    <row r="738" ht="12.75" customHeight="1" s="55"/>
    <row r="739" ht="12.75" customHeight="1" s="55"/>
    <row r="740" ht="12.75" customHeight="1" s="55"/>
    <row r="741" ht="12.75" customHeight="1" s="55"/>
    <row r="742" ht="12.75" customHeight="1" s="55"/>
    <row r="743" ht="12.75" customHeight="1" s="55"/>
    <row r="744" ht="12.75" customHeight="1" s="55"/>
    <row r="745" ht="12.75" customHeight="1" s="55"/>
    <row r="746" ht="12.75" customHeight="1" s="55"/>
    <row r="747" ht="12.75" customHeight="1" s="55"/>
    <row r="748" ht="12.75" customHeight="1" s="55"/>
    <row r="749" ht="12.75" customHeight="1" s="55"/>
    <row r="750" ht="12.75" customHeight="1" s="55"/>
    <row r="751" ht="12.75" customHeight="1" s="55"/>
    <row r="752" ht="12.75" customHeight="1" s="55"/>
    <row r="753" ht="12.75" customHeight="1" s="55"/>
    <row r="754" ht="12.75" customHeight="1" s="55"/>
    <row r="755" ht="12.75" customHeight="1" s="55"/>
    <row r="756" ht="12.75" customHeight="1" s="55"/>
    <row r="757" ht="12.75" customHeight="1" s="55"/>
    <row r="758" ht="12.75" customHeight="1" s="55"/>
    <row r="759" ht="12.75" customHeight="1" s="55"/>
    <row r="760" ht="12.75" customHeight="1" s="55"/>
    <row r="761" ht="12.75" customHeight="1" s="55"/>
    <row r="762" ht="12.75" customHeight="1" s="55"/>
    <row r="763" ht="12.75" customHeight="1" s="55"/>
    <row r="764" ht="12.75" customHeight="1" s="55"/>
    <row r="765" ht="12.75" customHeight="1" s="55"/>
    <row r="766" ht="12.75" customHeight="1" s="55"/>
    <row r="767" ht="12.75" customHeight="1" s="55"/>
    <row r="768" ht="12.75" customHeight="1" s="55"/>
    <row r="769" ht="12.75" customHeight="1" s="55"/>
    <row r="770" ht="12.75" customHeight="1" s="55"/>
    <row r="771" ht="12.75" customHeight="1" s="55"/>
    <row r="772" ht="12.75" customHeight="1" s="55"/>
    <row r="773" ht="12.75" customHeight="1" s="55"/>
    <row r="774" ht="12.75" customHeight="1" s="55"/>
    <row r="775" ht="12.75" customHeight="1" s="55"/>
    <row r="776" ht="12.75" customHeight="1" s="55"/>
    <row r="777" ht="12.75" customHeight="1" s="55"/>
    <row r="778" ht="12.75" customHeight="1" s="55"/>
    <row r="779" ht="12.75" customHeight="1" s="55"/>
    <row r="780" ht="12.75" customHeight="1" s="55"/>
    <row r="781" ht="12.75" customHeight="1" s="55"/>
    <row r="782" ht="12.75" customHeight="1" s="55"/>
    <row r="783" ht="12.75" customHeight="1" s="55"/>
    <row r="784" ht="12.75" customHeight="1" s="55"/>
    <row r="785" ht="12.75" customHeight="1" s="55"/>
    <row r="786" ht="12.75" customHeight="1" s="55"/>
    <row r="787" ht="12.75" customHeight="1" s="55"/>
    <row r="788" ht="12.75" customHeight="1" s="55"/>
    <row r="789" ht="12.75" customHeight="1" s="55"/>
    <row r="790" ht="12.75" customHeight="1" s="55"/>
    <row r="791" ht="12.75" customHeight="1" s="55"/>
    <row r="792" ht="12.75" customHeight="1" s="55"/>
    <row r="793" ht="12.75" customHeight="1" s="55"/>
    <row r="794" ht="12.75" customHeight="1" s="55"/>
    <row r="795" ht="12.75" customHeight="1" s="55"/>
    <row r="796" ht="12.75" customHeight="1" s="55"/>
    <row r="797" ht="12.75" customHeight="1" s="55"/>
    <row r="798" ht="12.75" customHeight="1" s="55"/>
    <row r="799" ht="12.75" customHeight="1" s="55"/>
    <row r="800" ht="12.75" customHeight="1" s="55"/>
    <row r="801" ht="12.75" customHeight="1" s="55"/>
    <row r="802" ht="12.75" customHeight="1" s="55"/>
    <row r="803" ht="12.75" customHeight="1" s="55"/>
    <row r="804" ht="12.75" customHeight="1" s="55"/>
    <row r="805" ht="12.75" customHeight="1" s="55"/>
    <row r="806" ht="12.75" customHeight="1" s="55"/>
    <row r="807" ht="12.75" customHeight="1" s="55"/>
    <row r="808" ht="12.75" customHeight="1" s="55"/>
    <row r="809" ht="12.75" customHeight="1" s="55"/>
    <row r="810" ht="12.75" customHeight="1" s="55"/>
    <row r="811" ht="12.75" customHeight="1" s="55"/>
    <row r="812" ht="12.75" customHeight="1" s="55"/>
    <row r="813" ht="12.75" customHeight="1" s="55"/>
    <row r="814" ht="12.75" customHeight="1" s="55"/>
    <row r="815" ht="12.75" customHeight="1" s="55"/>
    <row r="816" ht="12.75" customHeight="1" s="55"/>
    <row r="817" ht="12.75" customHeight="1" s="55"/>
    <row r="818" ht="12.75" customHeight="1" s="55"/>
    <row r="819" ht="12.75" customHeight="1" s="55"/>
    <row r="820" ht="12.75" customHeight="1" s="55"/>
    <row r="821" ht="12.75" customHeight="1" s="55"/>
    <row r="822" ht="12.75" customHeight="1" s="55"/>
    <row r="823" ht="12.75" customHeight="1" s="55"/>
    <row r="824" ht="12.75" customHeight="1" s="55"/>
    <row r="825" ht="12.75" customHeight="1" s="55"/>
    <row r="826" ht="12.75" customHeight="1" s="55"/>
    <row r="827" ht="12.75" customHeight="1" s="55"/>
    <row r="828" ht="12.75" customHeight="1" s="55"/>
    <row r="829" ht="12.75" customHeight="1" s="55"/>
    <row r="830" ht="12.75" customHeight="1" s="55"/>
    <row r="831" ht="12.75" customHeight="1" s="55"/>
    <row r="832" ht="12.75" customHeight="1" s="55"/>
    <row r="833" ht="12.75" customHeight="1" s="55"/>
    <row r="834" ht="12.75" customHeight="1" s="55"/>
    <row r="835" ht="12.75" customHeight="1" s="55"/>
    <row r="836" ht="12.75" customHeight="1" s="55"/>
    <row r="837" ht="12.75" customHeight="1" s="55"/>
    <row r="838" ht="12.75" customHeight="1" s="55"/>
    <row r="839" ht="12.75" customHeight="1" s="55"/>
    <row r="840" ht="12.75" customHeight="1" s="55"/>
    <row r="841" ht="12.75" customHeight="1" s="55"/>
    <row r="842" ht="12.75" customHeight="1" s="55"/>
    <row r="843" ht="12.75" customHeight="1" s="55"/>
    <row r="844" ht="12.75" customHeight="1" s="55"/>
    <row r="845" ht="12.75" customHeight="1" s="55"/>
    <row r="846" ht="12.75" customHeight="1" s="55"/>
    <row r="847" ht="12.75" customHeight="1" s="55"/>
    <row r="848" ht="12.75" customHeight="1" s="55"/>
    <row r="849" ht="12.75" customHeight="1" s="55"/>
    <row r="850" ht="12.75" customHeight="1" s="55"/>
    <row r="851" ht="12.75" customHeight="1" s="55"/>
    <row r="852" ht="12.75" customHeight="1" s="55"/>
    <row r="853" ht="12.75" customHeight="1" s="55"/>
    <row r="854" ht="12.75" customHeight="1" s="55"/>
    <row r="855" ht="12.75" customHeight="1" s="55"/>
    <row r="856" ht="12.75" customHeight="1" s="55"/>
    <row r="857" ht="12.75" customHeight="1" s="55"/>
    <row r="858" ht="12.75" customHeight="1" s="55"/>
    <row r="859" ht="12.75" customHeight="1" s="55"/>
    <row r="860" ht="12.75" customHeight="1" s="55"/>
    <row r="861" ht="12.75" customHeight="1" s="55"/>
    <row r="862" ht="12.75" customHeight="1" s="55"/>
    <row r="863" ht="12.75" customHeight="1" s="55"/>
    <row r="864" ht="12.75" customHeight="1" s="55"/>
    <row r="865" ht="12.75" customHeight="1" s="55"/>
    <row r="866" ht="12.75" customHeight="1" s="55"/>
    <row r="867" ht="12.75" customHeight="1" s="55"/>
    <row r="868" ht="12.75" customHeight="1" s="55"/>
    <row r="869" ht="12.75" customHeight="1" s="55"/>
    <row r="870" ht="12.75" customHeight="1" s="55"/>
    <row r="871" ht="12.75" customHeight="1" s="55"/>
    <row r="872" ht="12.75" customHeight="1" s="55"/>
    <row r="873" ht="12.75" customHeight="1" s="55"/>
    <row r="874" ht="12.75" customHeight="1" s="55"/>
    <row r="875" ht="12.75" customHeight="1" s="55"/>
    <row r="876" ht="12.75" customHeight="1" s="55"/>
    <row r="877" ht="12.75" customHeight="1" s="55"/>
    <row r="878" ht="12.75" customHeight="1" s="55"/>
    <row r="879" ht="12.75" customHeight="1" s="55"/>
    <row r="880" ht="12.75" customHeight="1" s="55"/>
    <row r="881" ht="12.75" customHeight="1" s="55"/>
    <row r="882" ht="12.75" customHeight="1" s="55"/>
    <row r="883" ht="12.75" customHeight="1" s="55"/>
    <row r="884" ht="12.75" customHeight="1" s="55"/>
    <row r="885" ht="12.75" customHeight="1" s="55"/>
    <row r="886" ht="12.75" customHeight="1" s="55"/>
    <row r="887" ht="12.75" customHeight="1" s="55"/>
    <row r="888" ht="12.75" customHeight="1" s="55"/>
    <row r="889" ht="12.75" customHeight="1" s="55"/>
    <row r="890" ht="12.75" customHeight="1" s="55"/>
    <row r="891" ht="12.75" customHeight="1" s="55"/>
    <row r="892" ht="12.75" customHeight="1" s="55"/>
    <row r="893" ht="12.75" customHeight="1" s="55"/>
    <row r="894" ht="12.75" customHeight="1" s="55"/>
    <row r="895" ht="12.75" customHeight="1" s="55"/>
    <row r="896" ht="12.75" customHeight="1" s="55"/>
    <row r="897" ht="12.75" customHeight="1" s="55"/>
    <row r="898" ht="12.75" customHeight="1" s="55"/>
    <row r="899" ht="12.75" customHeight="1" s="55"/>
    <row r="900" ht="12.75" customHeight="1" s="55"/>
    <row r="901" ht="12.75" customHeight="1" s="55"/>
    <row r="902" ht="12.75" customHeight="1" s="55"/>
    <row r="903" ht="12.75" customHeight="1" s="55"/>
    <row r="904" ht="12.75" customHeight="1" s="55"/>
    <row r="905" ht="12.75" customHeight="1" s="55"/>
    <row r="906" ht="12.75" customHeight="1" s="55"/>
    <row r="907" ht="12.75" customHeight="1" s="55"/>
    <row r="908" ht="12.75" customHeight="1" s="55"/>
    <row r="909" ht="12.75" customHeight="1" s="55"/>
    <row r="910" ht="12.75" customHeight="1" s="55"/>
    <row r="911" ht="12.75" customHeight="1" s="55"/>
    <row r="912" ht="12.75" customHeight="1" s="55"/>
    <row r="913" ht="12.75" customHeight="1" s="55"/>
    <row r="914" ht="12.75" customHeight="1" s="55"/>
    <row r="915" ht="12.75" customHeight="1" s="55"/>
    <row r="916" ht="12.75" customHeight="1" s="55"/>
    <row r="917" ht="12.75" customHeight="1" s="55"/>
    <row r="918" ht="12.75" customHeight="1" s="55"/>
    <row r="919" ht="12.75" customHeight="1" s="55"/>
    <row r="920" ht="12.75" customHeight="1" s="55"/>
    <row r="921" ht="12.75" customHeight="1" s="55"/>
    <row r="922" ht="12.75" customHeight="1" s="55"/>
    <row r="923" ht="12.75" customHeight="1" s="55"/>
    <row r="924" ht="12.75" customHeight="1" s="55"/>
    <row r="925" ht="12.75" customHeight="1" s="55"/>
    <row r="926" ht="12.75" customHeight="1" s="55"/>
    <row r="927" ht="12.75" customHeight="1" s="55"/>
    <row r="928" ht="12.75" customHeight="1" s="55"/>
    <row r="929" ht="12.75" customHeight="1" s="55"/>
    <row r="930" ht="12.75" customHeight="1" s="55"/>
    <row r="931" ht="12.75" customHeight="1" s="55"/>
    <row r="932" ht="12.75" customHeight="1" s="55"/>
    <row r="933" ht="12.75" customHeight="1" s="55"/>
    <row r="934" ht="12.75" customHeight="1" s="55"/>
    <row r="935" ht="12.75" customHeight="1" s="55"/>
    <row r="936" ht="12.75" customHeight="1" s="55"/>
    <row r="937" ht="12.75" customHeight="1" s="55"/>
    <row r="938" ht="12.75" customHeight="1" s="55"/>
    <row r="939" ht="12.75" customHeight="1" s="55"/>
    <row r="940" ht="12.75" customHeight="1" s="55"/>
    <row r="941" ht="12.75" customHeight="1" s="55"/>
    <row r="942" ht="12.75" customHeight="1" s="55"/>
    <row r="943" ht="12.75" customHeight="1" s="55"/>
    <row r="944" ht="12.75" customHeight="1" s="55"/>
    <row r="945" ht="12.75" customHeight="1" s="55"/>
    <row r="946" ht="12.75" customHeight="1" s="55"/>
    <row r="947" ht="12.75" customHeight="1" s="55"/>
    <row r="948" ht="12.75" customHeight="1" s="55"/>
    <row r="949" ht="12.75" customHeight="1" s="55"/>
    <row r="950" ht="12.75" customHeight="1" s="55"/>
    <row r="951" ht="12.75" customHeight="1" s="55"/>
    <row r="952" ht="12.75" customHeight="1" s="55"/>
    <row r="953" ht="12.75" customHeight="1" s="55"/>
    <row r="954" ht="12.75" customHeight="1" s="55"/>
    <row r="955" ht="12.75" customHeight="1" s="55"/>
    <row r="956" ht="12.75" customHeight="1" s="55"/>
    <row r="957" ht="12.75" customHeight="1" s="55"/>
    <row r="958" ht="12.75" customHeight="1" s="55"/>
    <row r="959" ht="12.75" customHeight="1" s="55"/>
    <row r="960" ht="12.75" customHeight="1" s="55"/>
    <row r="961" ht="12.75" customHeight="1" s="55"/>
    <row r="962" ht="12.75" customHeight="1" s="55"/>
    <row r="963" ht="12.75" customHeight="1" s="55"/>
    <row r="964" ht="12.75" customHeight="1" s="55"/>
    <row r="965" ht="12.75" customHeight="1" s="55"/>
    <row r="966" ht="12.75" customHeight="1" s="55"/>
    <row r="967" ht="12.75" customHeight="1" s="55"/>
    <row r="968" ht="12.75" customHeight="1" s="55"/>
    <row r="969" ht="12.75" customHeight="1" s="55"/>
    <row r="970" ht="12.75" customHeight="1" s="55"/>
    <row r="971" ht="12.75" customHeight="1" s="55"/>
    <row r="972" ht="12.75" customHeight="1" s="55"/>
    <row r="973" ht="12.75" customHeight="1" s="55"/>
    <row r="974" ht="12.75" customHeight="1" s="55"/>
    <row r="975" ht="12.75" customHeight="1" s="55"/>
    <row r="976" ht="12.75" customHeight="1" s="55"/>
    <row r="977" ht="12.75" customHeight="1" s="55"/>
    <row r="978" ht="12.75" customHeight="1" s="55"/>
    <row r="979" ht="12.75" customHeight="1" s="55"/>
    <row r="980" ht="12.75" customHeight="1" s="55"/>
    <row r="981" ht="12.75" customHeight="1" s="55"/>
    <row r="982" ht="12.75" customHeight="1" s="55"/>
    <row r="983" ht="12.75" customHeight="1" s="55"/>
    <row r="984" ht="12.75" customHeight="1" s="55"/>
    <row r="985" ht="12.75" customHeight="1" s="55"/>
    <row r="986" ht="12.75" customHeight="1" s="55"/>
    <row r="987" ht="12.75" customHeight="1" s="55"/>
    <row r="988" ht="12.75" customHeight="1" s="55"/>
    <row r="989" ht="12.75" customHeight="1" s="55"/>
    <row r="990" ht="12.75" customHeight="1" s="55"/>
    <row r="991" ht="12.75" customHeight="1" s="55"/>
    <row r="992" ht="12.75" customHeight="1" s="55"/>
    <row r="993" ht="12.75" customHeight="1" s="55"/>
    <row r="994" ht="12.75" customHeight="1" s="55"/>
    <row r="995" ht="12.75" customHeight="1" s="55"/>
    <row r="996" ht="12.75" customHeight="1" s="55"/>
    <row r="997" ht="12.75" customHeight="1" s="55"/>
    <row r="998" ht="12.75" customHeight="1" s="55"/>
    <row r="999" ht="12.75" customHeight="1" s="55"/>
    <row r="1000" ht="12.75" customHeight="1" s="55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6.88" customWidth="1" style="54" min="1" max="1"/>
    <col width="12" customWidth="1" style="54" min="2" max="2"/>
    <col width="19.88" customWidth="1" style="54" min="3" max="3"/>
    <col width="35.63" customWidth="1" style="54" min="4" max="4"/>
    <col width="40.25" customWidth="1" style="54" min="5" max="5"/>
    <col width="12.75" customWidth="1" style="54" min="6" max="6"/>
    <col width="8" customWidth="1" style="54" min="7" max="7"/>
    <col width="9.75" customWidth="1" style="54" min="8" max="8"/>
    <col width="8" customWidth="1" style="54" min="9" max="28"/>
  </cols>
  <sheetData>
    <row r="1" ht="15.75" customHeight="1" s="55">
      <c r="A1" s="56" t="inlineStr">
        <is>
          <t>Sri Sivasubramaniya Nadar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STUDENT WISE SUMMARY SHEET</t>
        </is>
      </c>
    </row>
    <row r="4" ht="15.75" customHeight="1" s="55">
      <c r="A4" s="58" t="inlineStr">
        <is>
          <t>Class &amp; Section : V SEM  IT B</t>
        </is>
      </c>
      <c r="B4" s="59" t="n"/>
      <c r="C4" s="59" t="n"/>
    </row>
    <row r="5" ht="15.75" customHeight="1" s="55">
      <c r="A5" s="58" t="inlineStr">
        <is>
          <t>Academic Year: 2026-2027</t>
        </is>
      </c>
      <c r="B5" s="59" t="n"/>
      <c r="C5" s="59" t="n"/>
    </row>
    <row r="6" ht="10.5" customHeight="1" s="55">
      <c r="A6" s="58" t="n"/>
      <c r="B6" s="59" t="n"/>
      <c r="C6" s="59" t="n"/>
    </row>
    <row r="7" ht="30.75" customHeight="1" s="55">
      <c r="A7" s="61" t="n"/>
      <c r="B7" s="61" t="n"/>
      <c r="C7" s="61" t="n"/>
      <c r="D7" s="61" t="n"/>
      <c r="E7" s="64" t="n"/>
      <c r="F7" s="64" t="n"/>
      <c r="G7" s="65" t="n"/>
      <c r="H7" s="66" t="n"/>
    </row>
    <row r="8" ht="31.5" customHeight="1" s="55">
      <c r="A8" s="67" t="inlineStr">
        <is>
          <t>S.No</t>
        </is>
      </c>
      <c r="B8" s="67" t="inlineStr">
        <is>
          <t>Digital Id</t>
        </is>
      </c>
      <c r="C8" s="67" t="inlineStr">
        <is>
          <t>Register Number</t>
        </is>
      </c>
      <c r="D8" s="67" t="inlineStr">
        <is>
          <t>Name as per 12th Mark Sheet</t>
        </is>
      </c>
      <c r="E8" s="67" t="inlineStr">
        <is>
          <t>SSN Email ID</t>
        </is>
      </c>
      <c r="F8" s="67" t="n"/>
      <c r="G8" s="102" t="n"/>
      <c r="H8" s="70" t="n"/>
    </row>
    <row r="9" ht="21" customHeight="1" s="55">
      <c r="A9" s="72" t="n"/>
      <c r="B9" s="72" t="n"/>
      <c r="C9" s="72" t="n"/>
      <c r="D9" s="72" t="n"/>
      <c r="E9" s="72" t="n"/>
      <c r="F9" s="67" t="n"/>
      <c r="G9" s="71" t="n"/>
      <c r="H9" s="71" t="n"/>
    </row>
    <row r="10" ht="21" customHeight="1" s="55">
      <c r="A10" s="73" t="n">
        <v>1</v>
      </c>
      <c r="B10" s="74" t="n">
        <v>2410606</v>
      </c>
      <c r="C10" s="75" t="n">
        <v>3122245002067</v>
      </c>
      <c r="D10" s="76" t="inlineStr">
        <is>
          <t>Pragalya T</t>
        </is>
      </c>
      <c r="E10" s="76" t="inlineStr">
        <is>
          <t>pragalya2410606@ssn.edu.in</t>
        </is>
      </c>
      <c r="F10" s="103">
        <f>SUM(UIT3561!BJ12+UIT3562!BL12+UIT3563!BI12+UIT3501!BI12+UIT3515!BI12+UIT3519!BI12+UIT3517!BI12)</f>
        <v/>
      </c>
      <c r="G10" s="71">
        <f>SUM(UIT3561!BJ13+UIT3562!BL13+UIT3563!BI13+UIT3501!BI13+UIT3515!BI13+UIT3519!BI13+UIT3517!BI13)</f>
        <v/>
      </c>
      <c r="H10" s="71">
        <f>SUM((G10/F10)*100)</f>
        <v/>
      </c>
    </row>
    <row r="11" ht="21" customHeight="1" s="55">
      <c r="A11" s="73" t="n">
        <v>2</v>
      </c>
      <c r="B11" s="74" t="n">
        <v>2410674</v>
      </c>
      <c r="C11" s="75" t="n">
        <v>3122245002068</v>
      </c>
      <c r="D11" s="76" t="inlineStr">
        <is>
          <t>Praghathish G T</t>
        </is>
      </c>
      <c r="E11" s="76" t="inlineStr">
        <is>
          <t>praghathish2410674@ssn.edu.in</t>
        </is>
      </c>
      <c r="F11" s="103">
        <f>SUM(UIT3561!BJ13+UIT3562!BL13+UIT3563!BI13+UIT3501!BI13+UIT3515!BI13+UIT3519!BI13+UIT3517!BI13)</f>
        <v/>
      </c>
      <c r="G11" s="71">
        <f>SUM(UIT3561!BJ14+UIT3562!BL14+UIT3563!BI14+UIT3501!BI14+UIT3515!BI14+UIT3519!BI14+UIT3517!BI14)</f>
        <v/>
      </c>
      <c r="H11" s="71">
        <f>SUM((G11/F11)*100)</f>
        <v/>
      </c>
    </row>
    <row r="12" ht="21" customHeight="1" s="55">
      <c r="A12" s="73" t="n">
        <v>3</v>
      </c>
      <c r="B12" s="74" t="n">
        <v>2410080</v>
      </c>
      <c r="C12" s="75" t="n">
        <v>3122245002069</v>
      </c>
      <c r="D12" s="76" t="inlineStr">
        <is>
          <t>Pranav C K</t>
        </is>
      </c>
      <c r="E12" s="76" t="inlineStr">
        <is>
          <t>pranav2410080@ssn.edu.in</t>
        </is>
      </c>
      <c r="F12" s="103">
        <f>SUM(UIT3561!BJ14+UIT3562!BL14+UIT3563!BI14+UIT3501!BI14+UIT3515!BI14+UIT3519!BI14+UIT3517!BI14)</f>
        <v/>
      </c>
      <c r="G12" s="71">
        <f>SUM(UIT3561!BJ15+UIT3562!BL15+UIT3563!BI15+UIT3501!BI15+UIT3515!BI15+UIT3519!BI15+UIT3517!BI15)</f>
        <v/>
      </c>
      <c r="H12" s="71">
        <f>SUM((G12/F12)*100)</f>
        <v/>
      </c>
    </row>
    <row r="13" ht="21" customHeight="1" s="55">
      <c r="A13" s="73" t="n">
        <v>4</v>
      </c>
      <c r="B13" s="74" t="n">
        <v>2410328</v>
      </c>
      <c r="C13" s="75" t="n">
        <v>3122245002070</v>
      </c>
      <c r="D13" s="76" t="inlineStr">
        <is>
          <t>Pranav Vasudevan</t>
        </is>
      </c>
      <c r="E13" s="76" t="inlineStr">
        <is>
          <t>pranav2410328@ssn.edu.in</t>
        </is>
      </c>
      <c r="F13" s="103">
        <f>SUM(UIT3561!BJ15+UIT3562!BL15+UIT3563!BI15+UIT3501!BI15+UIT3515!BI15+UIT3519!BI15+UIT3517!BI15)</f>
        <v/>
      </c>
      <c r="G13" s="71">
        <f>SUM(UIT3561!BJ16+UIT3562!BL16+UIT3563!BI16+UIT3501!BI16+UIT3515!BI16+UIT3519!BI16+UIT3517!BI16)</f>
        <v/>
      </c>
      <c r="H13" s="71">
        <f>SUM((G13/F13)*100)</f>
        <v/>
      </c>
    </row>
    <row r="14" ht="21" customHeight="1" s="55">
      <c r="A14" s="73" t="n">
        <v>5</v>
      </c>
      <c r="B14" s="74" t="n">
        <v>2410738</v>
      </c>
      <c r="C14" s="75" t="n">
        <v>3122245002071</v>
      </c>
      <c r="D14" s="76" t="inlineStr">
        <is>
          <t>Radhakrishnan M</t>
        </is>
      </c>
      <c r="E14" s="76" t="inlineStr">
        <is>
          <t>radhakrishnan2410738@ssn.edu.in</t>
        </is>
      </c>
      <c r="F14" s="103">
        <f>SUM(UIT3561!BJ16+UIT3562!BL16+UIT3563!BI16+UIT3501!BI16+UIT3515!BI16+UIT3519!BI16+UIT3517!BI16)</f>
        <v/>
      </c>
      <c r="G14" s="71">
        <f>SUM(UIT3561!BJ17+UIT3562!BL17+UIT3563!BI17+UIT3501!BI17+UIT3515!BI17+UIT3519!BI17+UIT3517!BI17)</f>
        <v/>
      </c>
      <c r="H14" s="71">
        <f>SUM((G14/F14)*100)</f>
        <v/>
      </c>
    </row>
    <row r="15" ht="21" customHeight="1" s="55">
      <c r="A15" s="73" t="n">
        <v>6</v>
      </c>
      <c r="B15" s="74" t="n">
        <v>2410786</v>
      </c>
      <c r="C15" s="75" t="n">
        <v>3122245002072</v>
      </c>
      <c r="D15" s="76" t="inlineStr">
        <is>
          <t>Raghul Krishna V</t>
        </is>
      </c>
      <c r="E15" s="76" t="inlineStr">
        <is>
          <t>raghulkrishna2410786@ssn.edu.in</t>
        </is>
      </c>
      <c r="F15" s="103">
        <f>SUM(UIT3561!BJ17+UIT3562!BL17+UIT3563!BI17+UIT3501!BI17+UIT3515!BI17+UIT3519!BI17+UIT3517!BI17)</f>
        <v/>
      </c>
      <c r="G15" s="71">
        <f>SUM(UIT3561!BJ18+UIT3562!BL18+UIT3563!BI18+UIT3501!BI18+UIT3515!BI18+UIT3519!BI18+UIT3517!BI18)</f>
        <v/>
      </c>
      <c r="H15" s="71">
        <f>SUM((G15/F15)*100)</f>
        <v/>
      </c>
    </row>
    <row r="16" ht="21" customHeight="1" s="55">
      <c r="A16" s="73" t="n">
        <v>7</v>
      </c>
      <c r="B16" s="74" t="n">
        <v>2410441</v>
      </c>
      <c r="C16" s="75" t="n">
        <v>3122245002073</v>
      </c>
      <c r="D16" s="76" t="inlineStr">
        <is>
          <t>Ragul A</t>
        </is>
      </c>
      <c r="E16" s="76" t="inlineStr">
        <is>
          <t>ragul2410441@ssn.edu.in</t>
        </is>
      </c>
      <c r="F16" s="103">
        <f>SUM(UIT3561!BJ18+UIT3562!BL18+UIT3563!BI18+UIT3501!BI18+UIT3515!BI18+UIT3519!BI18+UIT3517!BI18)</f>
        <v/>
      </c>
      <c r="G16" s="71">
        <f>SUM(UIT3561!BJ19+UIT3562!BL19+UIT3563!BI19+UIT3501!BI19+UIT3515!BI19+UIT3519!BI19+UIT3517!BI19)</f>
        <v/>
      </c>
      <c r="H16" s="71">
        <f>SUM((G16/F16)*100)</f>
        <v/>
      </c>
    </row>
    <row r="17" ht="21" customHeight="1" s="55">
      <c r="A17" s="73" t="n">
        <v>8</v>
      </c>
      <c r="B17" s="74" t="n">
        <v>2410834</v>
      </c>
      <c r="C17" s="75" t="n">
        <v>3122245002074</v>
      </c>
      <c r="D17" s="76" t="inlineStr">
        <is>
          <t>Ragunandhan M</t>
        </is>
      </c>
      <c r="E17" s="76" t="inlineStr">
        <is>
          <t>ragunandhan2410834@ssn.edu.in</t>
        </is>
      </c>
      <c r="F17" s="103">
        <f>SUM(UIT3561!BJ19+UIT3562!BL19+UIT3563!BI19+UIT3501!BI19+UIT3515!BI19+UIT3519!BI19+UIT3517!BI19)</f>
        <v/>
      </c>
      <c r="G17" s="71">
        <f>SUM(UIT3561!BJ20+UIT3562!BL20+UIT3563!BI20+UIT3501!BI20+UIT3515!BI20+UIT3519!BI20+UIT3517!BI20)</f>
        <v/>
      </c>
      <c r="H17" s="71">
        <f>SUM((G17/F17)*100)</f>
        <v/>
      </c>
    </row>
    <row r="18" ht="21" customHeight="1" s="55">
      <c r="A18" s="73" t="n">
        <v>9</v>
      </c>
      <c r="B18" s="74" t="n">
        <v>2410098</v>
      </c>
      <c r="C18" s="75" t="n">
        <v>3122245002075</v>
      </c>
      <c r="D18" s="76" t="inlineStr">
        <is>
          <t>Rajkumar M</t>
        </is>
      </c>
      <c r="E18" s="76" t="inlineStr">
        <is>
          <t>rajkumar2410098@ssn.edu.in</t>
        </is>
      </c>
      <c r="F18" s="103">
        <f>SUM(UIT3561!BJ20+UIT3562!BL20+UIT3563!BI20+UIT3501!BI20+UIT3515!BI20+UIT3519!BI20+UIT3517!BI20)</f>
        <v/>
      </c>
      <c r="G18" s="71">
        <f>SUM(UIT3561!BJ21+UIT3562!BL21+UIT3563!BI21+UIT3501!BI21+UIT3515!BI21+UIT3519!BI21+UIT3517!BI21)</f>
        <v/>
      </c>
      <c r="H18" s="71">
        <f>SUM((G18/F18)*100)</f>
        <v/>
      </c>
    </row>
    <row r="19" ht="21" customHeight="1" s="55">
      <c r="A19" s="73" t="n">
        <v>10</v>
      </c>
      <c r="B19" s="74" t="n">
        <v>2410632</v>
      </c>
      <c r="C19" s="75" t="n">
        <v>3122245002076</v>
      </c>
      <c r="D19" s="76" t="inlineStr">
        <is>
          <t>Ramakrishnan M R</t>
        </is>
      </c>
      <c r="E19" s="76" t="inlineStr">
        <is>
          <t>ramakrishnan2410632@ssn.edu.in</t>
        </is>
      </c>
      <c r="F19" s="103">
        <f>SUM(UIT3561!BJ21+UIT3562!BL21+UIT3563!BI21+UIT3501!BI21+UIT3515!BI21+UIT3519!BI21+UIT3517!BI21)</f>
        <v/>
      </c>
      <c r="G19" s="71">
        <f>SUM(UIT3561!BJ22+UIT3562!BL22+UIT3563!BI22+UIT3501!BI22+UIT3515!BI22+UIT3519!BI22+UIT3517!BI22)</f>
        <v/>
      </c>
      <c r="H19" s="71">
        <f>SUM((G19/F19)*100)</f>
        <v/>
      </c>
    </row>
    <row r="20" ht="21" customHeight="1" s="55">
      <c r="A20" s="73" t="n">
        <v>11</v>
      </c>
      <c r="B20" s="74" t="n">
        <v>2410313</v>
      </c>
      <c r="C20" s="75" t="n">
        <v>3122245002077</v>
      </c>
      <c r="D20" s="76" t="inlineStr">
        <is>
          <t>Raveena V K</t>
        </is>
      </c>
      <c r="E20" s="76" t="inlineStr">
        <is>
          <t>raveena2410313@ssn.edu.in</t>
        </is>
      </c>
      <c r="F20" s="103">
        <f>SUM(UIT3561!BJ22+UIT3562!BL22+UIT3563!BI22+UIT3501!BI22+UIT3515!BI22+UIT3519!BI22+UIT3517!BI22)</f>
        <v/>
      </c>
      <c r="G20" s="71">
        <f>SUM(UIT3561!BJ23+UIT3562!BL23+UIT3563!BI23+UIT3501!BI23+UIT3515!BI23+UIT3519!BI23+UIT3517!BI23)</f>
        <v/>
      </c>
      <c r="H20" s="71">
        <f>SUM((G20/F20)*100)</f>
        <v/>
      </c>
    </row>
    <row r="21" ht="21" customHeight="1" s="55">
      <c r="A21" s="73" t="n">
        <v>12</v>
      </c>
      <c r="B21" s="74" t="n">
        <v>2410581</v>
      </c>
      <c r="C21" s="75" t="n">
        <v>3122245002078</v>
      </c>
      <c r="D21" s="76" t="inlineStr">
        <is>
          <t>Ridhi R</t>
        </is>
      </c>
      <c r="E21" s="76" t="inlineStr">
        <is>
          <t>ridhi2410581@ssn.edu.in</t>
        </is>
      </c>
      <c r="F21" s="103">
        <f>SUM(UIT3561!BJ23+UIT3562!BL23+UIT3563!BI23+UIT3501!BI23+UIT3515!BI23+UIT3519!BI23+UIT3517!BI23)</f>
        <v/>
      </c>
      <c r="G21" s="71">
        <f>SUM(UIT3561!BJ24+UIT3562!BL24+UIT3563!BI24+UIT3501!BI24+UIT3515!BI24+UIT3519!BI24+UIT3517!BI24)</f>
        <v/>
      </c>
      <c r="H21" s="71">
        <f>SUM((G21/F21)*100)</f>
        <v/>
      </c>
    </row>
    <row r="22" ht="21" customHeight="1" s="55">
      <c r="A22" s="73" t="n">
        <v>13</v>
      </c>
      <c r="B22" s="74" t="n">
        <v>2410343</v>
      </c>
      <c r="C22" s="75" t="n">
        <v>3122245002079</v>
      </c>
      <c r="D22" s="76" t="inlineStr">
        <is>
          <t>Rishikumar Pitchiah Kalyanakumar</t>
        </is>
      </c>
      <c r="E22" s="76" t="inlineStr">
        <is>
          <t>rishikumar2410343@ssn.edu.in</t>
        </is>
      </c>
      <c r="F22" s="103">
        <f>SUM(UIT3561!BJ24+UIT3562!BL24+UIT3563!BI24+UIT3501!BI24+UIT3515!BI24+UIT3519!BI24+UIT3517!BI24)</f>
        <v/>
      </c>
      <c r="G22" s="71">
        <f>SUM(UIT3561!BJ25+UIT3562!BL25+UIT3563!BI25+UIT3501!BI25+UIT3515!BI25+UIT3519!BI25+UIT3517!BI25)</f>
        <v/>
      </c>
      <c r="H22" s="71">
        <f>SUM((G22/F22)*100)</f>
        <v/>
      </c>
    </row>
    <row r="23" ht="21" customHeight="1" s="55">
      <c r="A23" s="73" t="n">
        <v>14</v>
      </c>
      <c r="B23" s="74" t="n">
        <v>2410308</v>
      </c>
      <c r="C23" s="75" t="n">
        <v>3122245002080</v>
      </c>
      <c r="D23" s="76" t="inlineStr">
        <is>
          <t>Rithin Asvathama V</t>
        </is>
      </c>
      <c r="E23" s="76" t="inlineStr">
        <is>
          <t>rithinasvathama2410308@ssn.edu.in</t>
        </is>
      </c>
      <c r="F23" s="103">
        <f>SUM(UIT3561!BJ25+UIT3562!BL25+UIT3563!BI25+UIT3501!BI25+UIT3515!BI25+UIT3519!BI25+UIT3517!BI25)</f>
        <v/>
      </c>
      <c r="G23" s="71">
        <f>SUM(UIT3561!BJ26+UIT3562!BL26+UIT3563!BI26+UIT3501!BI26+UIT3515!BI26+UIT3519!BI26+UIT3517!BI26)</f>
        <v/>
      </c>
      <c r="H23" s="71">
        <f>SUM((G23/F23)*100)</f>
        <v/>
      </c>
    </row>
    <row r="24" ht="21" customHeight="1" s="55">
      <c r="A24" s="73" t="n">
        <v>15</v>
      </c>
      <c r="B24" s="74" t="n">
        <v>2410445</v>
      </c>
      <c r="C24" s="75" t="n">
        <v>3122245002081</v>
      </c>
      <c r="D24" s="76" t="inlineStr">
        <is>
          <t>Ritvik Kumar T</t>
        </is>
      </c>
      <c r="E24" s="76" t="inlineStr">
        <is>
          <t>ritvikkumar2410445@ssn.edu.in</t>
        </is>
      </c>
      <c r="F24" s="103">
        <f>SUM(UIT3561!BJ26+UIT3562!BL26+UIT3563!BI26+UIT3501!BI26+UIT3515!BI26+UIT3519!BI26+UIT3517!BI26)</f>
        <v/>
      </c>
      <c r="G24" s="71">
        <f>SUM(UIT3561!BJ27+UIT3562!BL27+UIT3563!BI27+UIT3501!BI27+UIT3515!BI27+UIT3519!BI27+UIT3517!BI27)</f>
        <v/>
      </c>
      <c r="H24" s="71">
        <f>SUM((G24/F24)*100)</f>
        <v/>
      </c>
    </row>
    <row r="25" ht="21" customHeight="1" s="55">
      <c r="A25" s="73" t="n">
        <v>16</v>
      </c>
      <c r="B25" s="74" t="n">
        <v>2410230</v>
      </c>
      <c r="C25" s="75" t="n">
        <v>3122245002082</v>
      </c>
      <c r="D25" s="76" t="inlineStr">
        <is>
          <t>Roja Sri R</t>
        </is>
      </c>
      <c r="E25" s="76" t="inlineStr">
        <is>
          <t>rojasri2410230@ssn.edu.in</t>
        </is>
      </c>
      <c r="F25" s="103">
        <f>SUM(UIT3561!BJ27+UIT3562!BL27+UIT3563!BI27+UIT3501!BI27+UIT3515!BI27+UIT3519!BI27+UIT3517!BI27)</f>
        <v/>
      </c>
      <c r="G25" s="71">
        <f>SUM(UIT3561!BJ28+UIT3562!BL28+UIT3563!BI28+UIT3501!BI28+UIT3515!BI28+UIT3519!BI28+UIT3517!BI28)</f>
        <v/>
      </c>
      <c r="H25" s="71">
        <f>SUM((G25/F25)*100)</f>
        <v/>
      </c>
    </row>
    <row r="26" ht="21" customHeight="1" s="55">
      <c r="A26" s="73" t="n">
        <v>17</v>
      </c>
      <c r="B26" s="74" t="n">
        <v>2410331</v>
      </c>
      <c r="C26" s="75" t="n">
        <v>3122245002083</v>
      </c>
      <c r="D26" s="76" t="inlineStr">
        <is>
          <t>Rovena Madharasi I</t>
        </is>
      </c>
      <c r="E26" s="76" t="inlineStr">
        <is>
          <t>rovenamadharasi2410331@ssn.edu.in</t>
        </is>
      </c>
      <c r="F26" s="103">
        <f>SUM(UIT3561!BJ28+UIT3562!BL28+UIT3563!BI28+UIT3501!BI28+UIT3515!BI28+UIT3519!BI28+UIT3517!BI28)</f>
        <v/>
      </c>
      <c r="G26" s="71">
        <f>SUM(UIT3561!BJ29+UIT3562!BL29+UIT3563!BI29+UIT3501!BI29+UIT3515!BI29+UIT3519!BI29+UIT3517!BI29)</f>
        <v/>
      </c>
      <c r="H26" s="71">
        <f>SUM((G26/F26)*100)</f>
        <v/>
      </c>
    </row>
    <row r="27" ht="21" customHeight="1" s="55">
      <c r="A27" s="73" t="n">
        <v>18</v>
      </c>
      <c r="B27" s="74" t="n">
        <v>2410229</v>
      </c>
      <c r="C27" s="75" t="n">
        <v>3122245002084</v>
      </c>
      <c r="D27" s="76" t="inlineStr">
        <is>
          <t>Sabarish S B</t>
        </is>
      </c>
      <c r="E27" s="76" t="inlineStr">
        <is>
          <t>sabarish2410229@ssn.edu.in</t>
        </is>
      </c>
      <c r="F27" s="103">
        <f>SUM(UIT3561!BJ29+UIT3562!BL29+UIT3563!BI29+UIT3501!BI29+UIT3515!BI29+UIT3519!BI29+UIT3517!BI29)</f>
        <v/>
      </c>
      <c r="G27" s="71">
        <f>SUM(UIT3561!BJ30+UIT3562!BL30+UIT3563!BI30+UIT3501!BI30+UIT3515!BI30+UIT3519!BI30+UIT3517!BI30)</f>
        <v/>
      </c>
      <c r="H27" s="71">
        <f>SUM((G27/F27)*100)</f>
        <v/>
      </c>
    </row>
    <row r="28" ht="21" customHeight="1" s="55">
      <c r="A28" s="73" t="n">
        <v>19</v>
      </c>
      <c r="B28" s="74" t="n">
        <v>2410984</v>
      </c>
      <c r="C28" s="75" t="n">
        <v>3122245002085</v>
      </c>
      <c r="D28" s="76" t="inlineStr">
        <is>
          <t>Sahana A</t>
        </is>
      </c>
      <c r="E28" s="76" t="inlineStr">
        <is>
          <t>sahana2410984@ssn.edu.in</t>
        </is>
      </c>
      <c r="F28" s="103">
        <f>SUM(UIT3561!BJ30+UIT3562!BL30+UIT3563!BI30+UIT3501!BI30+UIT3515!BI30+UIT3519!BI30+UIT3517!BI30)</f>
        <v/>
      </c>
      <c r="G28" s="71">
        <f>SUM(UIT3561!BJ31+UIT3562!BL31+UIT3563!BI31+UIT3501!BI31+UIT3515!BI31+UIT3519!BI31+UIT3517!BI31)</f>
        <v/>
      </c>
      <c r="H28" s="71">
        <f>SUM((G28/F28)*100)</f>
        <v/>
      </c>
    </row>
    <row r="29" ht="21" customHeight="1" s="55">
      <c r="A29" s="73" t="n">
        <v>20</v>
      </c>
      <c r="B29" s="74" t="n">
        <v>2410091</v>
      </c>
      <c r="C29" s="75" t="n">
        <v>3122245002086</v>
      </c>
      <c r="D29" s="76" t="inlineStr">
        <is>
          <t>Sandhya B</t>
        </is>
      </c>
      <c r="E29" s="76" t="inlineStr">
        <is>
          <t>sandhya2410091@ssn.edu.in</t>
        </is>
      </c>
      <c r="F29" s="103">
        <f>SUM(UIT3561!BJ31+UIT3562!BL31+UIT3563!BI31+UIT3501!BI31+UIT3515!BI31+UIT3519!BI31+UIT3517!BI31)</f>
        <v/>
      </c>
      <c r="G29" s="71">
        <f>SUM(UIT3561!BJ32+UIT3562!BL32+UIT3563!BI32+UIT3501!BI32+UIT3515!BI32+UIT3519!BI32+UIT3517!BI32)</f>
        <v/>
      </c>
      <c r="H29" s="71">
        <f>SUM((G29/F29)*100)</f>
        <v/>
      </c>
    </row>
    <row r="30" ht="21" customHeight="1" s="55">
      <c r="A30" s="73" t="n">
        <v>21</v>
      </c>
      <c r="B30" s="74" t="n">
        <v>2410706</v>
      </c>
      <c r="C30" s="75" t="n">
        <v>3122245002087</v>
      </c>
      <c r="D30" s="76" t="inlineStr">
        <is>
          <t>Sandhya S</t>
        </is>
      </c>
      <c r="E30" s="76" t="inlineStr">
        <is>
          <t>sandhya2410706@ssn.edu.in</t>
        </is>
      </c>
      <c r="F30" s="103">
        <f>SUM(UIT3561!BJ32+UIT3562!BL32+UIT3563!BI32+UIT3501!BI32+UIT3515!BI32+UIT3519!BI32+UIT3517!BI32)</f>
        <v/>
      </c>
      <c r="G30" s="71">
        <f>SUM(UIT3561!BJ33+UIT3562!BL33+UIT3563!BI33+UIT3501!BI33+UIT3515!BI33+UIT3519!BI33+UIT3517!BI33)</f>
        <v/>
      </c>
      <c r="H30" s="71">
        <f>SUM((G30/F30)*100)</f>
        <v/>
      </c>
    </row>
    <row r="31" ht="21" customHeight="1" s="55">
      <c r="A31" s="73" t="n">
        <v>22</v>
      </c>
      <c r="B31" s="74" t="n">
        <v>2410778</v>
      </c>
      <c r="C31" s="75" t="n">
        <v>3122245002088</v>
      </c>
      <c r="D31" s="76" t="inlineStr">
        <is>
          <t>Sangaraju Sathwik</t>
        </is>
      </c>
      <c r="E31" s="76" t="inlineStr">
        <is>
          <t>sangaraju2410778@ssn.edu.in</t>
        </is>
      </c>
      <c r="F31" s="103">
        <f>SUM(UIT3561!BJ33+UIT3562!BL33+UIT3563!BI33+UIT3501!BI33+UIT3515!BI33+UIT3519!BI33+UIT3517!BI33)</f>
        <v/>
      </c>
      <c r="G31" s="71">
        <f>SUM(UIT3561!BJ34+UIT3562!BL34+UIT3563!BI34+UIT3501!BI34+UIT3515!BI34+UIT3519!BI34+UIT3517!BI34)</f>
        <v/>
      </c>
      <c r="H31" s="71">
        <f>SUM((G31/F31)*100)</f>
        <v/>
      </c>
    </row>
    <row r="32" ht="21" customHeight="1" s="55">
      <c r="A32" s="73" t="n">
        <v>23</v>
      </c>
      <c r="B32" s="74" t="n">
        <v>2410162</v>
      </c>
      <c r="C32" s="75" t="n">
        <v>3122245002089</v>
      </c>
      <c r="D32" s="76" t="inlineStr">
        <is>
          <t>Sanjana Shankar</t>
        </is>
      </c>
      <c r="E32" s="76" t="inlineStr">
        <is>
          <t>sanjana2410162@ssn.edu.in</t>
        </is>
      </c>
      <c r="F32" s="103">
        <f>SUM(UIT3561!BJ34+UIT3562!BL34+UIT3563!BI34+UIT3501!BI34+UIT3515!BI34+UIT3519!BI34+UIT3517!BI34)</f>
        <v/>
      </c>
      <c r="G32" s="71">
        <f>SUM(UIT3561!BJ35+UIT3562!BL35+UIT3563!BI35+UIT3501!BI35+UIT3515!BI35+UIT3519!BI35+UIT3517!BI35)</f>
        <v/>
      </c>
      <c r="H32" s="71">
        <f>SUM((G32/F32)*100)</f>
        <v/>
      </c>
    </row>
    <row r="33" ht="21" customHeight="1" s="55">
      <c r="A33" s="73" t="n">
        <v>24</v>
      </c>
      <c r="B33" s="74" t="n">
        <v>2410514</v>
      </c>
      <c r="C33" s="75" t="n">
        <v>3122245002090</v>
      </c>
      <c r="D33" s="76" t="inlineStr">
        <is>
          <t>Sanjay J</t>
        </is>
      </c>
      <c r="E33" s="76" t="inlineStr">
        <is>
          <t>sanjay2410514@ssn.edu.in</t>
        </is>
      </c>
      <c r="F33" s="103">
        <f>SUM(UIT3561!BJ35+UIT3562!BL35+UIT3563!BI35+UIT3501!BI35+UIT3515!BI35+UIT3519!BI35+UIT3517!BI35)</f>
        <v/>
      </c>
      <c r="G33" s="71">
        <f>SUM(UIT3561!BJ36+UIT3562!BL36+UIT3563!BI36+UIT3501!BI36+UIT3515!BI36+UIT3519!BI36+UIT3517!BI36)</f>
        <v/>
      </c>
      <c r="H33" s="71">
        <f>SUM((G33/F33)*100)</f>
        <v/>
      </c>
    </row>
    <row r="34" ht="21" customHeight="1" s="55">
      <c r="A34" s="73" t="n">
        <v>25</v>
      </c>
      <c r="B34" s="74" t="n">
        <v>2410068</v>
      </c>
      <c r="C34" s="75" t="n">
        <v>3122245002091</v>
      </c>
      <c r="D34" s="76" t="inlineStr">
        <is>
          <t>Sanjay Raam S</t>
        </is>
      </c>
      <c r="E34" s="76" t="inlineStr">
        <is>
          <t>sanjayraam2410068@ssn.edu.in</t>
        </is>
      </c>
      <c r="F34" s="103">
        <f>SUM(UIT3561!BJ36+UIT3562!BL36+UIT3563!BI36+UIT3501!BI36+UIT3515!BI36+UIT3519!BI36+UIT3517!BI36)</f>
        <v/>
      </c>
      <c r="G34" s="71">
        <f>SUM(UIT3561!BJ37+UIT3562!BL37+UIT3563!BI37+UIT3501!BI37+UIT3515!BI37+UIT3519!BI37+UIT3517!BI37)</f>
        <v/>
      </c>
      <c r="H34" s="71">
        <f>SUM((G34/F34)*100)</f>
        <v/>
      </c>
    </row>
    <row r="35" ht="21" customHeight="1" s="55">
      <c r="A35" s="73" t="n">
        <v>26</v>
      </c>
      <c r="B35" s="74" t="n">
        <v>2410185</v>
      </c>
      <c r="C35" s="75" t="n">
        <v>3122245002092</v>
      </c>
      <c r="D35" s="76" t="inlineStr">
        <is>
          <t>Sanjay T</t>
        </is>
      </c>
      <c r="E35" s="76" t="inlineStr">
        <is>
          <t>sanjay2410185@ssn.edu.in</t>
        </is>
      </c>
      <c r="F35" s="103">
        <f>SUM(UIT3561!BJ37+UIT3562!BL37+UIT3563!BI37+UIT3501!BI37+UIT3515!BI37+UIT3519!BI37+UIT3517!BI37)</f>
        <v/>
      </c>
      <c r="G35" s="71">
        <f>SUM(UIT3561!BJ38+UIT3562!BL38+UIT3563!BI38+UIT3501!BI38+UIT3515!BI38+UIT3519!BI38+UIT3517!BI38)</f>
        <v/>
      </c>
      <c r="H35" s="71">
        <f>SUM((G35/F35)*100)</f>
        <v/>
      </c>
    </row>
    <row r="36" ht="21" customHeight="1" s="55">
      <c r="A36" s="73" t="n">
        <v>27</v>
      </c>
      <c r="B36" s="74" t="n">
        <v>2410988</v>
      </c>
      <c r="C36" s="75" t="n">
        <v>3122245002093</v>
      </c>
      <c r="D36" s="76" t="inlineStr">
        <is>
          <t>Santhosh Aaron C</t>
        </is>
      </c>
      <c r="E36" s="76" t="inlineStr">
        <is>
          <t>santhosh2410988@ssn.edu.in</t>
        </is>
      </c>
      <c r="F36" s="103">
        <f>SUM(UIT3561!BJ38+UIT3562!BL38+UIT3563!BI38+UIT3501!BI38+UIT3515!BI38+UIT3519!BI38+UIT3517!BI38)</f>
        <v/>
      </c>
      <c r="G36" s="71">
        <f>SUM(UIT3561!BJ39+UIT3562!BL39+UIT3563!BI39+UIT3501!BI39+UIT3515!BI39+UIT3519!BI39+UIT3517!BI39)</f>
        <v/>
      </c>
      <c r="H36" s="71">
        <f>SUM((G36/F36)*100)</f>
        <v/>
      </c>
    </row>
    <row r="37" ht="21" customHeight="1" s="55">
      <c r="A37" s="73" t="n">
        <v>28</v>
      </c>
      <c r="B37" s="74" t="n">
        <v>2410488</v>
      </c>
      <c r="C37" s="75" t="n">
        <v>3122245002094</v>
      </c>
      <c r="D37" s="76" t="inlineStr">
        <is>
          <t>Sarvesh K</t>
        </is>
      </c>
      <c r="E37" s="76" t="inlineStr">
        <is>
          <t>sarvesh2410488@ssn.edu.in</t>
        </is>
      </c>
      <c r="F37" s="103">
        <f>SUM(UIT3561!BJ39+UIT3562!BL39+UIT3563!BI39+UIT3501!BI39+UIT3515!BI39+UIT3519!BI39+UIT3517!BI39)</f>
        <v/>
      </c>
      <c r="G37" s="71">
        <f>SUM(UIT3561!BJ40+UIT3562!BL40+UIT3563!BI40+UIT3501!BI40+UIT3515!BI40+UIT3519!BI40+UIT3517!BI40)</f>
        <v/>
      </c>
      <c r="H37" s="71">
        <f>SUM((G37/F37)*100)</f>
        <v/>
      </c>
    </row>
    <row r="38" ht="21" customHeight="1" s="55">
      <c r="A38" s="73" t="n">
        <v>29</v>
      </c>
      <c r="B38" s="74" t="n">
        <v>2410076</v>
      </c>
      <c r="C38" s="75" t="n">
        <v>3122245002095</v>
      </c>
      <c r="D38" s="76" t="inlineStr">
        <is>
          <t>Sarvesh S</t>
        </is>
      </c>
      <c r="E38" s="76" t="inlineStr">
        <is>
          <t>sarvesh2410076@ssn.edu.in</t>
        </is>
      </c>
      <c r="F38" s="103">
        <f>SUM(UIT3561!BJ40+UIT3562!BL40+UIT3563!BI40+UIT3501!BI40+UIT3515!BI40+UIT3519!BI40+UIT3517!BI40)</f>
        <v/>
      </c>
      <c r="G38" s="71">
        <f>SUM(UIT3561!BJ41+UIT3562!BL41+UIT3563!BI41+UIT3501!BI41+UIT3515!BI41+UIT3519!BI41+UIT3517!BI41)</f>
        <v/>
      </c>
      <c r="H38" s="71">
        <f>SUM((G38/F38)*100)</f>
        <v/>
      </c>
    </row>
    <row r="39" ht="21" customHeight="1" s="55">
      <c r="A39" s="73" t="n">
        <v>30</v>
      </c>
      <c r="B39" s="74" t="n">
        <v>2410740</v>
      </c>
      <c r="C39" s="75" t="n">
        <v>3122245002096</v>
      </c>
      <c r="D39" s="76" t="inlineStr">
        <is>
          <t>Sarvesh S</t>
        </is>
      </c>
      <c r="E39" s="76" t="inlineStr">
        <is>
          <t>sarvesh2410740@ssn.edu.in</t>
        </is>
      </c>
      <c r="F39" s="103">
        <f>SUM(UIT3561!BJ41+UIT3562!BL41+UIT3563!BI41+UIT3501!BI41+UIT3515!BI41+UIT3519!BI41+UIT3517!BI41)</f>
        <v/>
      </c>
      <c r="G39" s="71">
        <f>SUM(UIT3561!BJ42+UIT3562!BL42+UIT3563!BI42+UIT3501!BI42+UIT3515!BI42+UIT3519!BI42+UIT3517!BI42)</f>
        <v/>
      </c>
      <c r="H39" s="71">
        <f>SUM((G39/F39)*100)</f>
        <v/>
      </c>
    </row>
    <row r="40" ht="21" customHeight="1" s="55">
      <c r="A40" s="73" t="n">
        <v>31</v>
      </c>
      <c r="B40" s="74" t="n">
        <v>2410118</v>
      </c>
      <c r="C40" s="75" t="n">
        <v>3122245002097</v>
      </c>
      <c r="D40" s="76" t="inlineStr">
        <is>
          <t>Sathvik Gururaghavendran</t>
        </is>
      </c>
      <c r="E40" s="76" t="inlineStr">
        <is>
          <t>sathvik2410118@ssn.edu.in</t>
        </is>
      </c>
      <c r="F40" s="103">
        <f>SUM(UIT3561!BJ42+UIT3562!BL42+UIT3563!BI42+UIT3501!BI42+UIT3515!BI42+UIT3519!BI42+UIT3517!BI42)</f>
        <v/>
      </c>
      <c r="G40" s="71">
        <f>SUM(UIT3561!BJ43+UIT3562!BL43+UIT3563!BI43+UIT3501!BI43+UIT3515!BI43+UIT3519!BI43+UIT3517!BI43)</f>
        <v/>
      </c>
      <c r="H40" s="71">
        <f>SUM((G40/F40)*100)</f>
        <v/>
      </c>
    </row>
    <row r="41" ht="21" customHeight="1" s="55">
      <c r="A41" s="73" t="n">
        <v>32</v>
      </c>
      <c r="B41" s="74" t="n">
        <v>2410486</v>
      </c>
      <c r="C41" s="75" t="n">
        <v>3122245002098</v>
      </c>
      <c r="D41" s="76" t="inlineStr">
        <is>
          <t>Shalini G</t>
        </is>
      </c>
      <c r="E41" s="76" t="inlineStr">
        <is>
          <t>shalini2410486@ssn.edu.in</t>
        </is>
      </c>
      <c r="F41" s="103">
        <f>SUM(UIT3561!BJ43+UIT3562!BL43+UIT3563!BI43+UIT3501!BI43+UIT3515!BI43+UIT3519!BI43+UIT3517!BI43)</f>
        <v/>
      </c>
      <c r="G41" s="71">
        <f>SUM(UIT3561!BJ44+UIT3562!BL44+UIT3563!BI44+UIT3501!BI44+UIT3515!BI44+UIT3519!BI44+UIT3517!BI44)</f>
        <v/>
      </c>
      <c r="H41" s="71">
        <f>SUM((G41/F41)*100)</f>
        <v/>
      </c>
    </row>
    <row r="42" ht="21" customHeight="1" s="55">
      <c r="A42" s="73" t="n">
        <v>33</v>
      </c>
      <c r="B42" s="74" t="n">
        <v>2410569</v>
      </c>
      <c r="C42" s="75" t="n">
        <v>3122245002099</v>
      </c>
      <c r="D42" s="76" t="inlineStr">
        <is>
          <t>Sharaal Jospeen Rani S</t>
        </is>
      </c>
      <c r="E42" s="76" t="inlineStr">
        <is>
          <t>sharaaljospeenrani2410569@ssn.edu.in</t>
        </is>
      </c>
      <c r="F42" s="103">
        <f>SUM(UIT3561!BJ44+UIT3562!BL44+UIT3563!BI44+UIT3501!BI44+UIT3515!BI44+UIT3519!BI44+UIT3517!BI44)</f>
        <v/>
      </c>
      <c r="G42" s="71">
        <f>SUM(UIT3561!BJ45+UIT3562!BL45+UIT3563!BI45+UIT3501!BI45+UIT3515!BI45+UIT3519!BI45+UIT3517!BI45)</f>
        <v/>
      </c>
      <c r="H42" s="71">
        <f>SUM((G42/F42)*100)</f>
        <v/>
      </c>
    </row>
    <row r="43" ht="21" customHeight="1" s="55">
      <c r="A43" s="73" t="n">
        <v>34</v>
      </c>
      <c r="B43" s="74" t="n">
        <v>2410047</v>
      </c>
      <c r="C43" s="75" t="n">
        <v>3122245002100</v>
      </c>
      <c r="D43" s="76" t="inlineStr">
        <is>
          <t>Shashank V</t>
        </is>
      </c>
      <c r="E43" s="76" t="inlineStr">
        <is>
          <t>shashank2410047@ssn.edu.in</t>
        </is>
      </c>
      <c r="F43" s="103">
        <f>SUM(UIT3561!BJ45+UIT3562!BL45+UIT3563!BI45+UIT3501!BI45+UIT3515!BI45+UIT3519!BI45+UIT3517!BI45)</f>
        <v/>
      </c>
      <c r="G43" s="71">
        <f>SUM(UIT3561!BJ46+UIT3562!BL46+UIT3563!BI46+UIT3501!BI46+UIT3515!BI46+UIT3519!BI46+UIT3517!BI46)</f>
        <v/>
      </c>
      <c r="H43" s="71">
        <f>SUM((G43/F43)*100)</f>
        <v/>
      </c>
    </row>
    <row r="44" ht="21" customHeight="1" s="55">
      <c r="A44" s="73" t="n">
        <v>35</v>
      </c>
      <c r="B44" s="74" t="n">
        <v>2410184</v>
      </c>
      <c r="C44" s="75" t="n">
        <v>3122245002101</v>
      </c>
      <c r="D44" s="76" t="inlineStr">
        <is>
          <t>Shree M</t>
        </is>
      </c>
      <c r="E44" s="76" t="inlineStr">
        <is>
          <t>shree2410184@ssn.edu.in</t>
        </is>
      </c>
      <c r="F44" s="103">
        <f>SUM(UIT3561!BJ46+UIT3562!BL46+UIT3563!BI46+UIT3501!BI46+UIT3515!BI46+UIT3519!BI46+UIT3517!BI46)</f>
        <v/>
      </c>
      <c r="G44" s="71">
        <f>SUM(UIT3561!BJ47+UIT3562!BL47+UIT3563!BI47+UIT3501!BI47+UIT3515!BI47+UIT3519!BI47+UIT3517!BI47)</f>
        <v/>
      </c>
      <c r="H44" s="71">
        <f>SUM((G44/F44)*100)</f>
        <v/>
      </c>
    </row>
    <row r="45" ht="21" customHeight="1" s="55">
      <c r="A45" s="73" t="n">
        <v>36</v>
      </c>
      <c r="B45" s="74" t="n">
        <v>2410214</v>
      </c>
      <c r="C45" s="75" t="n">
        <v>3122245002102</v>
      </c>
      <c r="D45" s="76" t="inlineStr">
        <is>
          <t>Shrika Neeharika C</t>
        </is>
      </c>
      <c r="E45" s="76" t="inlineStr">
        <is>
          <t>shrikaneeharika2410214@ssn.edu.in</t>
        </is>
      </c>
      <c r="F45" s="103">
        <f>SUM(UIT3561!BJ47+UIT3562!BL47+UIT3563!BI47+UIT3501!BI47+UIT3515!BI47+UIT3519!BI47+UIT3517!BI47)</f>
        <v/>
      </c>
      <c r="G45" s="71">
        <f>SUM(UIT3561!BJ48+UIT3562!BL48+UIT3563!BI48+UIT3501!BI48+UIT3515!BI48+UIT3519!BI48+UIT3517!BI48)</f>
        <v/>
      </c>
      <c r="H45" s="71">
        <f>SUM((G45/F45)*100)</f>
        <v/>
      </c>
    </row>
    <row r="46" ht="21" customHeight="1" s="55">
      <c r="A46" s="73" t="n">
        <v>37</v>
      </c>
      <c r="B46" s="74" t="n">
        <v>2410072</v>
      </c>
      <c r="C46" s="75" t="n">
        <v>3122245002103</v>
      </c>
      <c r="D46" s="76" t="inlineStr">
        <is>
          <t>Shrish V V S Sri Kumar Rasamsetty</t>
        </is>
      </c>
      <c r="E46" s="76" t="inlineStr">
        <is>
          <t>shrish2410072@ssn.edu.in</t>
        </is>
      </c>
      <c r="F46" s="103">
        <f>SUM(UIT3561!BJ48+UIT3562!BL48+UIT3563!BI48+UIT3501!BI48+UIT3515!BI48+UIT3519!BI48+UIT3517!BI48)</f>
        <v/>
      </c>
      <c r="G46" s="71">
        <f>SUM(UIT3561!BJ49+UIT3562!BL49+UIT3563!BI49+UIT3501!BI49+UIT3515!BI49+UIT3519!BI49+UIT3517!BI49)</f>
        <v/>
      </c>
      <c r="H46" s="71">
        <f>SUM((G46/F46)*100)</f>
        <v/>
      </c>
    </row>
    <row r="47" ht="21" customHeight="1" s="55">
      <c r="A47" s="73" t="n">
        <v>38</v>
      </c>
      <c r="B47" s="74" t="n">
        <v>2410533</v>
      </c>
      <c r="C47" s="75" t="n">
        <v>3122245002104</v>
      </c>
      <c r="D47" s="76" t="inlineStr">
        <is>
          <t>Shyam T J</t>
        </is>
      </c>
      <c r="E47" s="76" t="inlineStr">
        <is>
          <t>shyam2410533@ssn.edu.in</t>
        </is>
      </c>
      <c r="F47" s="103">
        <f>SUM(UIT3561!BJ49+UIT3562!BL49+UIT3563!BI49+UIT3501!BI49+UIT3515!BI49+UIT3519!BI49+UIT3517!BI49)</f>
        <v/>
      </c>
      <c r="G47" s="71">
        <f>SUM(UIT3561!BJ50+UIT3562!BL50+UIT3563!BI50+UIT3501!BI50+UIT3515!BI50+UIT3519!BI50+UIT3517!BI50)</f>
        <v/>
      </c>
      <c r="H47" s="71">
        <f>SUM((G47/F47)*100)</f>
        <v/>
      </c>
    </row>
    <row r="48" ht="21" customHeight="1" s="55">
      <c r="A48" s="73" t="n">
        <v>39</v>
      </c>
      <c r="B48" s="74" t="n">
        <v>2410457</v>
      </c>
      <c r="C48" s="75" t="n">
        <v>3122245002105</v>
      </c>
      <c r="D48" s="76" t="inlineStr">
        <is>
          <t>Siva Hari Raj S T</t>
        </is>
      </c>
      <c r="E48" s="76" t="inlineStr">
        <is>
          <t>sivahariraj2410457@ssn.edu.in</t>
        </is>
      </c>
      <c r="F48" s="103">
        <f>SUM(UIT3561!BJ50+UIT3562!BL50+UIT3563!BI50+UIT3501!BI50+UIT3515!BI50+UIT3519!BI50+UIT3517!BI50)</f>
        <v/>
      </c>
      <c r="G48" s="71">
        <f>SUM(UIT3561!BJ51+UIT3562!BL51+UIT3563!BI51+UIT3501!BI51+UIT3515!BI51+UIT3519!BI51+UIT3517!BI51)</f>
        <v/>
      </c>
      <c r="H48" s="71">
        <f>SUM((G48/F48)*100)</f>
        <v/>
      </c>
    </row>
    <row r="49" ht="21" customHeight="1" s="55">
      <c r="A49" s="73" t="n">
        <v>40</v>
      </c>
      <c r="B49" s="74" t="n">
        <v>2410759</v>
      </c>
      <c r="C49" s="75" t="n">
        <v>3122245002106</v>
      </c>
      <c r="D49" s="76" t="inlineStr">
        <is>
          <t>Sivaprasanth K</t>
        </is>
      </c>
      <c r="E49" s="76" t="inlineStr">
        <is>
          <t>sivaprasanth2410759@ssn.edu.in</t>
        </is>
      </c>
      <c r="F49" s="103">
        <f>SUM(UIT3561!BJ51+UIT3562!BL51+UIT3563!BI51+UIT3501!BI51+UIT3515!BI51+UIT3519!BI51+UIT3517!BI51)</f>
        <v/>
      </c>
      <c r="G49" s="71">
        <f>SUM(UIT3561!BJ52+UIT3562!BL52+UIT3563!BI52+UIT3501!BI52+UIT3515!BI52+UIT3519!BI52+UIT3517!BI52)</f>
        <v/>
      </c>
      <c r="H49" s="71">
        <f>SUM((G49/F49)*100)</f>
        <v/>
      </c>
    </row>
    <row r="50" ht="21" customHeight="1" s="55">
      <c r="A50" s="73" t="n">
        <v>41</v>
      </c>
      <c r="B50" s="74" t="n">
        <v>2410530</v>
      </c>
      <c r="C50" s="75" t="n">
        <v>3122245002107</v>
      </c>
      <c r="D50" s="76" t="inlineStr">
        <is>
          <t>Sreenath G</t>
        </is>
      </c>
      <c r="E50" s="76" t="inlineStr">
        <is>
          <t>sreenath2410530@ssn.edu.in</t>
        </is>
      </c>
      <c r="F50" s="103">
        <f>SUM(UIT3561!BJ52+UIT3562!BL52+UIT3563!BI52+UIT3501!BI52+UIT3515!BI52+UIT3519!BI52+UIT3517!BI52)</f>
        <v/>
      </c>
      <c r="G50" s="71">
        <f>SUM(UIT3561!BJ53+UIT3562!BL53+UIT3563!BI53+UIT3501!BI53+UIT3515!BI53+UIT3519!BI53+UIT3517!BI53)</f>
        <v/>
      </c>
      <c r="H50" s="71">
        <f>SUM((G50/F50)*100)</f>
        <v/>
      </c>
    </row>
    <row r="51" ht="21" customHeight="1" s="55">
      <c r="A51" s="73" t="n">
        <v>42</v>
      </c>
      <c r="B51" s="74" t="n">
        <v>2410089</v>
      </c>
      <c r="C51" s="75" t="n">
        <v>3122245002108</v>
      </c>
      <c r="D51" s="76" t="inlineStr">
        <is>
          <t>Sri Subhiksha T</t>
        </is>
      </c>
      <c r="E51" s="76" t="inlineStr">
        <is>
          <t>sri2410089@ssn.edu.in</t>
        </is>
      </c>
      <c r="F51" s="103">
        <f>SUM(UIT3561!BJ53+UIT3562!BL53+UIT3563!BI53+UIT3501!BI53+UIT3515!BI53+UIT3519!BI53+UIT3517!BI53)</f>
        <v/>
      </c>
      <c r="G51" s="71">
        <f>SUM(UIT3561!BJ54+UIT3562!BL54+UIT3563!BI54+UIT3501!BI54+UIT3515!BI54+UIT3519!BI54+UIT3517!BI54)</f>
        <v/>
      </c>
      <c r="H51" s="71">
        <f>SUM((G51/F51)*100)</f>
        <v/>
      </c>
    </row>
    <row r="52" ht="21" customHeight="1" s="55">
      <c r="A52" s="73" t="n">
        <v>43</v>
      </c>
      <c r="B52" s="74" t="n">
        <v>2410307</v>
      </c>
      <c r="C52" s="75" t="n">
        <v>3122245002109</v>
      </c>
      <c r="D52" s="76" t="inlineStr">
        <is>
          <t>Srimathi B</t>
        </is>
      </c>
      <c r="E52" s="76" t="inlineStr">
        <is>
          <t>srimathi2410307@ssn.edu.in</t>
        </is>
      </c>
      <c r="F52" s="103">
        <f>SUM(UIT3561!BJ54+UIT3562!BL54+UIT3563!BI54+UIT3501!BI54+UIT3515!BI54+UIT3519!BI54+UIT3517!BI54)</f>
        <v/>
      </c>
      <c r="G52" s="71">
        <f>SUM(UIT3561!BJ55+UIT3562!BL55+UIT3563!BI55+UIT3501!BI55+UIT3515!BI55+UIT3519!BI55+UIT3517!BI55)</f>
        <v/>
      </c>
      <c r="H52" s="71">
        <f>SUM((G52/F52)*100)</f>
        <v/>
      </c>
    </row>
    <row r="53" ht="21" customHeight="1" s="55">
      <c r="A53" s="73" t="n">
        <v>44</v>
      </c>
      <c r="B53" s="74" t="n">
        <v>2410315</v>
      </c>
      <c r="C53" s="75" t="n">
        <v>3122245002110</v>
      </c>
      <c r="D53" s="76" t="inlineStr">
        <is>
          <t>Sriram R</t>
        </is>
      </c>
      <c r="E53" s="76" t="inlineStr">
        <is>
          <t>sriram2410315@ssn.edu.in</t>
        </is>
      </c>
      <c r="F53" s="103">
        <f>SUM(UIT3561!BJ55+UIT3562!BL55+UIT3563!BI55+UIT3501!BI55+UIT3515!BI55+UIT3519!BI55+UIT3517!BI55)</f>
        <v/>
      </c>
      <c r="G53" s="71">
        <f>SUM(UIT3561!BJ56+UIT3562!BL56+UIT3563!BI56+UIT3501!BI56+UIT3515!BI56+UIT3519!BI56+UIT3517!BI56)</f>
        <v/>
      </c>
      <c r="H53" s="71">
        <f>SUM((G53/F53)*100)</f>
        <v/>
      </c>
    </row>
    <row r="54" ht="21" customHeight="1" s="55">
      <c r="A54" s="73" t="n">
        <v>45</v>
      </c>
      <c r="B54" s="74" t="n">
        <v>2410777</v>
      </c>
      <c r="C54" s="75" t="n">
        <v>3122245002111</v>
      </c>
      <c r="D54" s="76" t="inlineStr">
        <is>
          <t>Srivarshan S</t>
        </is>
      </c>
      <c r="E54" s="76" t="inlineStr">
        <is>
          <t>srivarshan2410777@ssn.edu.in</t>
        </is>
      </c>
      <c r="F54" s="103">
        <f>SUM(UIT3561!BJ56+UIT3562!BL56+UIT3563!BI56+UIT3501!BI56+UIT3515!BI56+UIT3519!BI56+UIT3517!BI56)</f>
        <v/>
      </c>
      <c r="G54" s="71">
        <f>SUM(UIT3561!BJ57+UIT3562!BL57+UIT3563!BI57+UIT3501!BI57+UIT3515!BI57+UIT3519!BI57+UIT3517!BI57)</f>
        <v/>
      </c>
      <c r="H54" s="71">
        <f>SUM((G54/F54)*100)</f>
        <v/>
      </c>
    </row>
    <row r="55" ht="21" customHeight="1" s="55">
      <c r="A55" s="73" t="n">
        <v>46</v>
      </c>
      <c r="B55" s="74" t="n">
        <v>2410345</v>
      </c>
      <c r="C55" s="75" t="n">
        <v>3122245002112</v>
      </c>
      <c r="D55" s="76" t="inlineStr">
        <is>
          <t>Srivathsan G</t>
        </is>
      </c>
      <c r="E55" s="76" t="inlineStr">
        <is>
          <t>srivathsan2410345@ssn.edu.in</t>
        </is>
      </c>
      <c r="F55" s="103">
        <f>SUM(UIT3561!BJ57+UIT3562!BL57+UIT3563!BI57+UIT3501!BI57+UIT3515!BI57+UIT3519!BI57+UIT3517!BI57)</f>
        <v/>
      </c>
      <c r="G55" s="71">
        <f>SUM(UIT3561!BJ58+UIT3562!BL58+UIT3563!BI58+UIT3501!BI58+UIT3515!BI58+UIT3519!BI58+UIT3517!BI58)</f>
        <v/>
      </c>
      <c r="H55" s="71">
        <f>SUM((G55/F55)*100)</f>
        <v/>
      </c>
    </row>
    <row r="56" ht="21" customHeight="1" s="55">
      <c r="A56" s="73" t="n">
        <v>47</v>
      </c>
      <c r="B56" s="74" t="n">
        <v>2410867</v>
      </c>
      <c r="C56" s="75" t="n">
        <v>3122245002113</v>
      </c>
      <c r="D56" s="76" t="inlineStr">
        <is>
          <t>Sudharsan S</t>
        </is>
      </c>
      <c r="E56" s="76" t="inlineStr">
        <is>
          <t>sudharsan2410867@ssn.edu.in</t>
        </is>
      </c>
      <c r="F56" s="103">
        <f>SUM(UIT3561!BJ58+UIT3562!BL58+UIT3563!BI58+UIT3501!BI58+UIT3515!BI58+UIT3519!BI58+UIT3517!BI58)</f>
        <v/>
      </c>
      <c r="G56" s="71">
        <f>SUM(UIT3561!BJ59+UIT3562!BL59+UIT3563!BI59+UIT3501!BI59+UIT3515!BI59+UIT3519!BI59+UIT3517!BI59)</f>
        <v/>
      </c>
      <c r="H56" s="71">
        <f>SUM((G56/F56)*100)</f>
        <v/>
      </c>
    </row>
    <row r="57" ht="21" customHeight="1" s="55">
      <c r="A57" s="73" t="n">
        <v>48</v>
      </c>
      <c r="B57" s="74" t="n">
        <v>2410309</v>
      </c>
      <c r="C57" s="75" t="n">
        <v>3122245002114</v>
      </c>
      <c r="D57" s="76" t="inlineStr">
        <is>
          <t>Sunitha Adluru</t>
        </is>
      </c>
      <c r="E57" s="76" t="inlineStr">
        <is>
          <t>sunitha2410309@ssn.edu.in</t>
        </is>
      </c>
      <c r="F57" s="103">
        <f>SUM(UIT3561!BJ59+UIT3562!BL59+UIT3563!BI59+UIT3501!BI59+UIT3515!BI59+UIT3519!BI59+UIT3517!BI59)</f>
        <v/>
      </c>
      <c r="G57" s="71">
        <f>SUM(UIT3561!BJ60+UIT3562!BL60+UIT3563!BI60+UIT3501!BI60+UIT3515!BI60+UIT3519!BI60+UIT3517!BI60)</f>
        <v/>
      </c>
      <c r="H57" s="71">
        <f>SUM((G57/F57)*100)</f>
        <v/>
      </c>
    </row>
    <row r="58" ht="21" customHeight="1" s="55">
      <c r="A58" s="73" t="n">
        <v>49</v>
      </c>
      <c r="B58" s="74" t="n">
        <v>2410404</v>
      </c>
      <c r="C58" s="75" t="n">
        <v>3122245002115</v>
      </c>
      <c r="D58" s="76" t="inlineStr">
        <is>
          <t>Supritha R</t>
        </is>
      </c>
      <c r="E58" s="76" t="inlineStr">
        <is>
          <t>supritha2410404@ssn.edu.in</t>
        </is>
      </c>
      <c r="F58" s="103">
        <f>SUM(UIT3561!BJ60+UIT3562!BL60+UIT3563!BI60+UIT3501!BI60+UIT3515!BI60+UIT3519!BI60+UIT3517!BI60)</f>
        <v/>
      </c>
      <c r="G58" s="71">
        <f>SUM(UIT3561!BJ61+UIT3562!BL61+UIT3563!BI61+UIT3501!BI61+UIT3515!BI61+UIT3519!BI61+UIT3517!BI61)</f>
        <v/>
      </c>
      <c r="H58" s="71">
        <f>SUM((G58/F58)*100)</f>
        <v/>
      </c>
    </row>
    <row r="59" ht="21" customHeight="1" s="55">
      <c r="A59" s="73" t="n">
        <v>50</v>
      </c>
      <c r="B59" s="74" t="n">
        <v>2410239</v>
      </c>
      <c r="C59" s="75" t="n">
        <v>3122245002116</v>
      </c>
      <c r="D59" s="76" t="inlineStr">
        <is>
          <t>Sweta Sri P</t>
        </is>
      </c>
      <c r="E59" s="76" t="inlineStr">
        <is>
          <t>swetasri2410239@ssn.edu.in</t>
        </is>
      </c>
      <c r="F59" s="103">
        <f>SUM(UIT3561!BJ61+UIT3562!BL61+UIT3563!BI61+UIT3501!BI61+UIT3515!BI61+UIT3519!BI61+UIT3517!BI61)</f>
        <v/>
      </c>
      <c r="G59" s="71">
        <f>SUM(UIT3561!BJ62+UIT3562!BL62+UIT3563!BI62+UIT3501!BI62+UIT3515!BI62+UIT3519!BI62+UIT3517!BI62)</f>
        <v/>
      </c>
      <c r="H59" s="71">
        <f>SUM((G59/F59)*100)</f>
        <v/>
      </c>
    </row>
    <row r="60" ht="21" customHeight="1" s="55">
      <c r="A60" s="73" t="n">
        <v>51</v>
      </c>
      <c r="B60" s="74" t="n">
        <v>2410247</v>
      </c>
      <c r="C60" s="75" t="n">
        <v>3122245002117</v>
      </c>
      <c r="D60" s="76" t="inlineStr">
        <is>
          <t>Tejaswin Bhola</t>
        </is>
      </c>
      <c r="E60" s="76" t="inlineStr">
        <is>
          <t>tejaswin2410247@ssn.edu.in</t>
        </is>
      </c>
      <c r="F60" s="103">
        <f>SUM(UIT3561!BJ62+UIT3562!BL62+UIT3563!BI62+UIT3501!BI62+UIT3515!BI62+UIT3519!BI62+UIT3517!BI62)</f>
        <v/>
      </c>
      <c r="G60" s="71">
        <f>SUM(UIT3561!BJ63+UIT3562!BL63+UIT3563!BI63+UIT3501!BI63+UIT3515!BI63+UIT3519!BI63+UIT3517!BI63)</f>
        <v/>
      </c>
      <c r="H60" s="71">
        <f>SUM((G60/F60)*100)</f>
        <v/>
      </c>
    </row>
    <row r="61" ht="21" customHeight="1" s="55">
      <c r="A61" s="73" t="n">
        <v>52</v>
      </c>
      <c r="B61" s="74" t="n">
        <v>2410699</v>
      </c>
      <c r="C61" s="75" t="n">
        <v>3122245002118</v>
      </c>
      <c r="D61" s="76" t="inlineStr">
        <is>
          <t>Thamizhini R</t>
        </is>
      </c>
      <c r="E61" s="76" t="inlineStr">
        <is>
          <t>thamizhini2410699@ssn.edu.in</t>
        </is>
      </c>
      <c r="F61" s="103">
        <f>SUM(UIT3561!BJ63+UIT3562!BL63+UIT3563!BI63+UIT3501!BI63+UIT3515!BI63+UIT3519!BI63+UIT3517!BI63)</f>
        <v/>
      </c>
      <c r="G61" s="71">
        <f>SUM(UIT3561!BJ64+UIT3562!BL64+UIT3563!BI64+UIT3501!BI64+UIT3515!BI64+UIT3519!BI64+UIT3517!BI64)</f>
        <v/>
      </c>
      <c r="H61" s="71">
        <f>SUM((G61/F61)*100)</f>
        <v/>
      </c>
    </row>
    <row r="62" ht="21" customHeight="1" s="55">
      <c r="A62" s="73" t="n">
        <v>53</v>
      </c>
      <c r="B62" s="74" t="n">
        <v>2410405</v>
      </c>
      <c r="C62" s="75" t="n">
        <v>3122245002119</v>
      </c>
      <c r="D62" s="76" t="inlineStr">
        <is>
          <t>Tharun Balaji M</t>
        </is>
      </c>
      <c r="E62" s="76" t="inlineStr">
        <is>
          <t>tharunbalaji2410405@ssn.edu.in</t>
        </is>
      </c>
      <c r="F62" s="103">
        <f>SUM(UIT3561!BJ64+UIT3562!BL64+UIT3563!BI64+UIT3501!BI64+UIT3515!BI64+UIT3519!BI64+UIT3517!BI64)</f>
        <v/>
      </c>
      <c r="G62" s="71">
        <f>SUM(UIT3561!BJ65+UIT3562!BL65+UIT3563!BI65+UIT3501!BI65+UIT3515!BI65+UIT3519!BI65+UIT3517!BI65)</f>
        <v/>
      </c>
      <c r="H62" s="71">
        <f>SUM((G62/F62)*100)</f>
        <v/>
      </c>
    </row>
    <row r="63" ht="21" customHeight="1" s="55">
      <c r="A63" s="73" t="n">
        <v>54</v>
      </c>
      <c r="B63" s="74" t="n">
        <v>2410785</v>
      </c>
      <c r="C63" s="75" t="n">
        <v>3122245002120</v>
      </c>
      <c r="D63" s="76" t="inlineStr">
        <is>
          <t>Thavasi M</t>
        </is>
      </c>
      <c r="E63" s="76" t="inlineStr">
        <is>
          <t>thavasi2410785@ssn.edu.in</t>
        </is>
      </c>
      <c r="F63" s="103">
        <f>SUM(UIT3561!BJ65+UIT3562!BL65+UIT3563!BI65+UIT3501!BI65+UIT3515!BI65+UIT3519!BI65+UIT3517!BI65)</f>
        <v/>
      </c>
      <c r="G63" s="71">
        <f>SUM(UIT3561!BJ66+UIT3562!BL66+UIT3563!BI66+UIT3501!BI66+UIT3515!BI66+UIT3519!BI66+UIT3517!BI66)</f>
        <v/>
      </c>
      <c r="H63" s="71">
        <f>SUM((G63/F63)*100)</f>
        <v/>
      </c>
    </row>
    <row r="64" ht="21" customHeight="1" s="55">
      <c r="A64" s="73" t="n">
        <v>55</v>
      </c>
      <c r="B64" s="74" t="n">
        <v>2410584</v>
      </c>
      <c r="C64" s="75" t="n">
        <v>3122245002121</v>
      </c>
      <c r="D64" s="76" t="inlineStr">
        <is>
          <t>Thirukkumaran V M</t>
        </is>
      </c>
      <c r="E64" s="76" t="inlineStr">
        <is>
          <t>thirukkumaran2410584@ssn.edu.in</t>
        </is>
      </c>
      <c r="F64" s="103">
        <f>SUM(UIT3561!BJ66+UIT3562!BL66+UIT3563!BI66+UIT3501!BI66+UIT3515!BI66+UIT3519!BI66+UIT3517!BI66)</f>
        <v/>
      </c>
      <c r="G64" s="71">
        <f>SUM(UIT3561!BJ67+UIT3562!BL67+UIT3563!BI67+UIT3501!BI67+UIT3515!BI67+UIT3519!BI67+UIT3517!BI67)</f>
        <v/>
      </c>
      <c r="H64" s="71">
        <f>SUM((G64/F64)*100)</f>
        <v/>
      </c>
    </row>
    <row r="65" ht="21" customHeight="1" s="55">
      <c r="A65" s="73" t="n">
        <v>56</v>
      </c>
      <c r="B65" s="74" t="n">
        <v>2410413</v>
      </c>
      <c r="C65" s="75" t="n">
        <v>3122245002122</v>
      </c>
      <c r="D65" s="76" t="inlineStr">
        <is>
          <t>Varsha M</t>
        </is>
      </c>
      <c r="E65" s="76" t="inlineStr">
        <is>
          <t>varsha2410413@ssn.edu.in</t>
        </is>
      </c>
      <c r="F65" s="103">
        <f>SUM(UIT3561!BJ67+UIT3562!BL67+UIT3563!BI67+UIT3501!BI67+UIT3515!BI67+UIT3519!BI67+UIT3517!BI67)</f>
        <v/>
      </c>
      <c r="G65" s="71">
        <f>SUM(UIT3561!BJ68+UIT3562!BL68+UIT3563!BI68+UIT3501!BI68+UIT3515!BI68+UIT3519!BI68+UIT3517!BI68)</f>
        <v/>
      </c>
      <c r="H65" s="71">
        <f>SUM((G65/F65)*100)</f>
        <v/>
      </c>
    </row>
    <row r="66" ht="21" customHeight="1" s="55">
      <c r="A66" s="73" t="n">
        <v>57</v>
      </c>
      <c r="B66" s="74" t="n">
        <v>2410848</v>
      </c>
      <c r="C66" s="75" t="n">
        <v>3122245002123</v>
      </c>
      <c r="D66" s="76" t="inlineStr">
        <is>
          <t>Varsha S</t>
        </is>
      </c>
      <c r="E66" s="76" t="inlineStr">
        <is>
          <t>varsha2410848@ssn.edu.in</t>
        </is>
      </c>
      <c r="F66" s="103">
        <f>SUM(UIT3561!BJ68+UIT3562!BL68+UIT3563!BI68+UIT3501!BI68+UIT3515!BI68+UIT3519!BI68+UIT3517!BI68)</f>
        <v/>
      </c>
      <c r="G66" s="71">
        <f>SUM(UIT3561!BJ69+UIT3562!BL69+UIT3563!BI69+UIT3501!BI69+UIT3515!BI69+UIT3519!BI69+UIT3517!BI69)</f>
        <v/>
      </c>
      <c r="H66" s="71">
        <f>SUM((G66/F66)*100)</f>
        <v/>
      </c>
    </row>
    <row r="67" ht="21" customHeight="1" s="55">
      <c r="A67" s="73" t="n">
        <v>58</v>
      </c>
      <c r="B67" s="74" t="n">
        <v>2410804</v>
      </c>
      <c r="C67" s="75" t="n">
        <v>3122245002124</v>
      </c>
      <c r="D67" s="76" t="inlineStr">
        <is>
          <t>Vijai T</t>
        </is>
      </c>
      <c r="E67" s="76" t="inlineStr">
        <is>
          <t>vijai2410804@ssn.edu.in</t>
        </is>
      </c>
      <c r="F67" s="103">
        <f>SUM(UIT3561!BJ69+UIT3562!BL69+UIT3563!BI69+UIT3501!BI69+UIT3515!BI69+UIT3519!BI69+UIT3517!BI69)</f>
        <v/>
      </c>
      <c r="G67" s="71">
        <f>SUM(UIT3561!BJ70+UIT3562!BL70+UIT3563!BI70+UIT3501!BI70+UIT3515!BI70+UIT3519!BI70+UIT3517!BI70)</f>
        <v/>
      </c>
      <c r="H67" s="71">
        <f>SUM((G67/F67)*100)</f>
        <v/>
      </c>
    </row>
    <row r="68" ht="21" customHeight="1" s="55">
      <c r="A68" s="73" t="n">
        <v>59</v>
      </c>
      <c r="B68" s="74" t="n">
        <v>2410586</v>
      </c>
      <c r="C68" s="75" t="n">
        <v>3122245002125</v>
      </c>
      <c r="D68" s="76" t="inlineStr">
        <is>
          <t>Vimal Raj M</t>
        </is>
      </c>
      <c r="E68" s="76" t="inlineStr">
        <is>
          <t>vimalraj2410586@ssn.edu.in</t>
        </is>
      </c>
      <c r="F68" s="103">
        <f>SUM(UIT3561!BJ70+UIT3562!BL70+UIT3563!BI70+UIT3501!BI70+UIT3515!BI70+UIT3519!BI70+UIT3517!BI70)</f>
        <v/>
      </c>
      <c r="G68" s="71">
        <f>SUM(UIT3561!BJ71+UIT3562!BL71+UIT3563!BI71+UIT3501!BI71+UIT3515!BI71+UIT3519!BI71+UIT3517!BI71)</f>
        <v/>
      </c>
      <c r="H68" s="71">
        <f>SUM((G68/F68)*100)</f>
        <v/>
      </c>
    </row>
    <row r="69" ht="21" customHeight="1" s="55">
      <c r="A69" s="73" t="n">
        <v>60</v>
      </c>
      <c r="B69" s="74" t="n">
        <v>2410781</v>
      </c>
      <c r="C69" s="75" t="n">
        <v>3122245002126</v>
      </c>
      <c r="D69" s="76" t="inlineStr">
        <is>
          <t>Vinobalan K</t>
        </is>
      </c>
      <c r="E69" s="76" t="inlineStr">
        <is>
          <t>vinobalan2410781@ssn.edu.in</t>
        </is>
      </c>
      <c r="F69" s="103">
        <f>SUM(UIT3561!BJ71+UIT3562!BL71+UIT3563!BI71+UIT3501!BI71+UIT3515!BI71+UIT3519!BI71+UIT3517!BI71)</f>
        <v/>
      </c>
      <c r="G69" s="71">
        <f>SUM(UIT3561!BJ72+UIT3562!BL72+UIT3563!BI72+UIT3501!BI72+UIT3515!BI72+UIT3519!BI72+UIT3517!BI72)</f>
        <v/>
      </c>
      <c r="H69" s="71">
        <f>SUM((G69/F69)*100)</f>
        <v/>
      </c>
    </row>
    <row r="70" ht="21" customHeight="1" s="55">
      <c r="A70" s="73" t="n">
        <v>61</v>
      </c>
      <c r="B70" s="74" t="n">
        <v>2410739</v>
      </c>
      <c r="C70" s="75" t="n">
        <v>3122245002127</v>
      </c>
      <c r="D70" s="76" t="inlineStr">
        <is>
          <t>Vishnu A</t>
        </is>
      </c>
      <c r="E70" s="76" t="inlineStr">
        <is>
          <t>vishnu2410739@ssn.edu.in</t>
        </is>
      </c>
      <c r="F70" s="103">
        <f>SUM(UIT3561!BJ72+UIT3562!BL72+UIT3563!BI72+UIT3501!BI72+UIT3515!BI72+UIT3519!BI72+UIT3517!BI72)</f>
        <v/>
      </c>
      <c r="G70" s="71">
        <f>SUM(UIT3561!BJ73+UIT3562!BL73+UIT3563!BI73+UIT3501!BI73+UIT3515!BI73+UIT3519!BI73+UIT3517!BI73)</f>
        <v/>
      </c>
      <c r="H70" s="71">
        <f>SUM((G70/F70)*100)</f>
        <v/>
      </c>
    </row>
    <row r="71" ht="21" customHeight="1" s="55">
      <c r="A71" s="73" t="n">
        <v>62</v>
      </c>
      <c r="B71" s="74" t="n">
        <v>2410079</v>
      </c>
      <c r="C71" s="75" t="n">
        <v>3122245002128</v>
      </c>
      <c r="D71" s="76" t="inlineStr">
        <is>
          <t>Yasasvini Tiwari</t>
        </is>
      </c>
      <c r="E71" s="76" t="inlineStr">
        <is>
          <t>yasasvini2410079@ssn.edu.in</t>
        </is>
      </c>
      <c r="F71" s="103">
        <f>SUM(UIT3561!BJ73+UIT3562!BL73+UIT3563!BI73+UIT3501!BI73+UIT3515!BI73+UIT3519!BI73+UIT3517!BI73)</f>
        <v/>
      </c>
      <c r="G71" s="71">
        <f>SUM(UIT3561!BJ74+UIT3562!BL74+UIT3563!BI74+UIT3501!BI74+UIT3515!BI74+UIT3519!BI74+UIT3517!BI74)</f>
        <v/>
      </c>
      <c r="H71" s="71">
        <f>SUM((G71/F71)*100)</f>
        <v/>
      </c>
    </row>
    <row r="72" ht="21" customHeight="1" s="55">
      <c r="A72" s="73" t="n">
        <v>63</v>
      </c>
      <c r="B72" s="74" t="n">
        <v>2410480</v>
      </c>
      <c r="C72" s="75" t="n">
        <v>3122245002129</v>
      </c>
      <c r="D72" s="76" t="inlineStr">
        <is>
          <t>Yashwanth B</t>
        </is>
      </c>
      <c r="E72" s="76" t="inlineStr">
        <is>
          <t>yashwanth2410480@ssn.edu.in</t>
        </is>
      </c>
      <c r="F72" s="103">
        <f>SUM(UIT3561!BJ74+UIT3562!BL74+UIT3563!BI74+UIT3501!BI74+UIT3515!BI74+UIT3519!BI74+UIT3517!BI74)</f>
        <v/>
      </c>
      <c r="G72" s="71">
        <f>SUM(UIT3561!BJ75+UIT3562!BL75+UIT3563!BI75+UIT3501!BI75+UIT3515!BI75+UIT3519!BI75+UIT3517!BI75)</f>
        <v/>
      </c>
      <c r="H72" s="71">
        <f>SUM((G72/F72)*100)</f>
        <v/>
      </c>
    </row>
    <row r="73" ht="21" customHeight="1" s="55">
      <c r="A73" s="73" t="n">
        <v>64</v>
      </c>
      <c r="B73" s="74" t="n">
        <v>2410433</v>
      </c>
      <c r="C73" s="75" t="n">
        <v>3122245002130</v>
      </c>
      <c r="D73" s="76" t="inlineStr">
        <is>
          <t>Yashwanth R</t>
        </is>
      </c>
      <c r="E73" s="76" t="inlineStr">
        <is>
          <t>yashwanth2410433@ssn.edu.in</t>
        </is>
      </c>
      <c r="F73" s="103">
        <f>SUM(UIT3561!BJ75+UIT3562!BL75+UIT3563!BI75+UIT3501!BI75+UIT3515!BI75+UIT3519!BI75+UIT3517!BI75)</f>
        <v/>
      </c>
      <c r="G73" s="71">
        <f>SUM(UIT3561!BJ76+UIT3562!BL76+UIT3563!BI76+UIT3501!BI76+UIT3515!BI76+UIT3519!BI76+UIT3517!BI76)</f>
        <v/>
      </c>
      <c r="H73" s="71">
        <f>SUM((G73/F73)*100)</f>
        <v/>
      </c>
    </row>
    <row r="74" ht="21" customHeight="1" s="55">
      <c r="A74" s="73" t="n">
        <v>65</v>
      </c>
      <c r="B74" s="74" t="n">
        <v>2410096</v>
      </c>
      <c r="C74" s="75" t="n">
        <v>3122245002131</v>
      </c>
      <c r="D74" s="76" t="inlineStr">
        <is>
          <t>Yasmithasri B</t>
        </is>
      </c>
      <c r="E74" s="76" t="inlineStr">
        <is>
          <t>yasmithasri2410096@ssn.edu.in</t>
        </is>
      </c>
      <c r="F74" s="103">
        <f>SUM(UIT3561!BJ76+UIT3562!BL76+UIT3563!BI76+UIT3501!BI76+UIT3515!BI76+UIT3519!BI76+UIT3517!BI76)</f>
        <v/>
      </c>
      <c r="G74" s="71">
        <f>SUM(UIT3561!BJ77+UIT3562!BL77+UIT3563!BI77+UIT3501!BI77+UIT3515!BI77+UIT3519!BI77+UIT3517!BI77)</f>
        <v/>
      </c>
      <c r="H74" s="71">
        <f>SUM((G74/F74)*100)</f>
        <v/>
      </c>
    </row>
    <row r="75" ht="21" customHeight="1" s="55">
      <c r="A75" s="73" t="n">
        <v>66</v>
      </c>
      <c r="B75" s="74" t="n">
        <v>2410990</v>
      </c>
      <c r="C75" s="75" t="n">
        <v>3122245002132</v>
      </c>
      <c r="D75" s="76" t="inlineStr">
        <is>
          <t>Yuvanitha A R</t>
        </is>
      </c>
      <c r="E75" s="76" t="inlineStr">
        <is>
          <t>yuvanitha2410990@ssn.edu.in</t>
        </is>
      </c>
      <c r="F75" s="103">
        <f>SUM(UIT3561!BJ77+UIT3562!BL77+UIT3563!BI77+UIT3501!BI77+UIT3515!BI77+UIT3519!BI77+UIT3517!BI77)</f>
        <v/>
      </c>
      <c r="G75" s="71">
        <f>SUM(UIT3561!BJ78+UIT3562!BL78+UIT3563!BI78+UIT3501!BI78+UIT3515!BI78+UIT3519!BI78+UIT3517!BI78)</f>
        <v/>
      </c>
      <c r="H75" s="71">
        <f>SUM((G75/F75)*100)</f>
        <v/>
      </c>
    </row>
    <row r="76" ht="21" customHeight="1" s="55">
      <c r="A76" s="73" t="n">
        <v>67</v>
      </c>
      <c r="B76" s="74" t="n">
        <v>2412049</v>
      </c>
      <c r="C76" s="75" t="n">
        <v>3122245002304</v>
      </c>
      <c r="D76" s="76" t="inlineStr">
        <is>
          <t>Darshan S S</t>
        </is>
      </c>
      <c r="E76" s="76" t="inlineStr">
        <is>
          <t>darshan2412049@ssn.edu.in</t>
        </is>
      </c>
      <c r="F76" s="103">
        <f>SUM(UIT3561!BJ78+UIT3562!BL78+UIT3563!BI78+UIT3501!BI78+UIT3515!BI78+UIT3519!BI78+UIT3517!BI78)</f>
        <v/>
      </c>
      <c r="G76" s="71">
        <f>SUM(UIT3561!BJ79+UIT3562!BL79+UIT3563!BI79+UIT3501!BI79+UIT3515!BI79+UIT3519!BI79+UIT3517!BI79)</f>
        <v/>
      </c>
      <c r="H76" s="71">
        <f>SUM((G76/F76)*100)</f>
        <v/>
      </c>
    </row>
    <row r="77" ht="21" customHeight="1" s="55">
      <c r="A77" s="73" t="n">
        <v>68</v>
      </c>
      <c r="B77" s="74" t="n">
        <v>2412046</v>
      </c>
      <c r="C77" s="75" t="n">
        <v>3122245002307</v>
      </c>
      <c r="D77" s="76" t="inlineStr">
        <is>
          <t>Manojkumar G</t>
        </is>
      </c>
      <c r="E77" s="76" t="inlineStr">
        <is>
          <t>manojkumar2412046@ssn.edu.in</t>
        </is>
      </c>
      <c r="F77" s="103">
        <f>SUM(UIT3561!BJ79+UIT3562!BL79+UIT3563!BI79+UIT3501!BI79+UIT3515!BI79+UIT3519!BI79+UIT3517!BI79)</f>
        <v/>
      </c>
      <c r="G77" s="71">
        <f>SUM(UIT3561!BJ80+UIT3562!BL80+UIT3563!BI80+UIT3501!BI80+UIT3515!BI80+UIT3519!BI80+UIT3517!BI80)</f>
        <v/>
      </c>
      <c r="H77" s="71">
        <f>SUM((G77/F77)*100)</f>
        <v/>
      </c>
    </row>
    <row r="78" ht="21" customHeight="1" s="55">
      <c r="A78" s="73" t="n">
        <v>69</v>
      </c>
      <c r="B78" s="74" t="n">
        <v>2412010</v>
      </c>
      <c r="C78" s="75" t="n">
        <v>3122245002308</v>
      </c>
      <c r="D78" s="76" t="inlineStr">
        <is>
          <t>Rhea Jenifer P</t>
        </is>
      </c>
      <c r="E78" s="76" t="inlineStr">
        <is>
          <t>rheajenifer2412010@ssn.edu.in</t>
        </is>
      </c>
      <c r="F78" s="103">
        <f>SUM(UIT3561!BJ80+UIT3562!BL80+UIT3563!BI80+UIT3501!BI80+UIT3515!BI80+UIT3519!BI80+UIT3517!BI80)</f>
        <v/>
      </c>
      <c r="G78" s="71">
        <f>SUM(UIT3561!BJ81+UIT3562!BL81+UIT3563!BI81+UIT3501!BI81+UIT3515!BI81+UIT3519!BI81+UIT3517!BI81)</f>
        <v/>
      </c>
      <c r="H78" s="71">
        <f>SUM((G78/F78)*100)</f>
        <v/>
      </c>
    </row>
    <row r="79" ht="21" customHeight="1" s="55">
      <c r="A79" s="73" t="n">
        <v>70</v>
      </c>
      <c r="B79" s="74" t="n">
        <v>2412073</v>
      </c>
      <c r="C79" s="75" t="n">
        <v>3122245002309</v>
      </c>
      <c r="D79" s="76" t="inlineStr">
        <is>
          <t>Sadhika T S</t>
        </is>
      </c>
      <c r="E79" s="76" t="inlineStr">
        <is>
          <t>sadhika2412073@ssn.edu.in</t>
        </is>
      </c>
      <c r="F79" s="103">
        <f>SUM(UIT3561!BJ81+UIT3562!BL81+UIT3563!BI81+UIT3501!BI81+UIT3515!BI81+UIT3519!BI81+UIT3517!BI81)</f>
        <v/>
      </c>
      <c r="G79" s="71">
        <f>SUM(UIT3561!BJ82+UIT3562!BL82+UIT3563!BI82+UIT3501!BI82+UIT3515!BI82+UIT3519!BI82+UIT3517!BI82)</f>
        <v/>
      </c>
      <c r="H79" s="71">
        <f>SUM((G79/F79)*100)</f>
        <v/>
      </c>
    </row>
    <row r="80" ht="21" customHeight="1" s="55">
      <c r="A80" s="73" t="n">
        <v>71</v>
      </c>
      <c r="B80" s="74" t="n">
        <v>2412001</v>
      </c>
      <c r="C80" s="75" t="n">
        <v>3122245002310</v>
      </c>
      <c r="D80" s="76" t="inlineStr">
        <is>
          <t>Sundararajan R</t>
        </is>
      </c>
      <c r="E80" s="76" t="inlineStr">
        <is>
          <t>sundararajan2412001@ssn.edu.in</t>
        </is>
      </c>
      <c r="F80" s="103">
        <f>SUM(UIT3561!BJ82+UIT3562!BL82+UIT3563!BI82+UIT3501!BI82+UIT3515!BI82+UIT3519!BI82+UIT3517!BI82)</f>
        <v/>
      </c>
      <c r="G80" s="71">
        <f>SUM(UIT3561!BJ83+UIT3562!BL83+UIT3563!BI83+UIT3501!BI83+UIT3515!BI83+UIT3519!BI83+UIT3517!BI83)</f>
        <v/>
      </c>
      <c r="H80" s="71">
        <f>SUM((G80/F80)*100)</f>
        <v/>
      </c>
    </row>
    <row r="81" ht="12.75" customHeight="1" s="55">
      <c r="B81" s="77" t="n"/>
      <c r="C81" s="77" t="n"/>
      <c r="F81" s="104" t="n"/>
      <c r="G81" s="104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</row>
    <row r="82" ht="12.75" customHeight="1" s="55">
      <c r="B82" s="77" t="n"/>
      <c r="C82" s="77" t="n"/>
    </row>
    <row r="83" ht="12.75" customHeight="1" s="55">
      <c r="B83" s="77" t="n"/>
      <c r="C83" s="77" t="n"/>
    </row>
    <row r="84" ht="12.75" customHeight="1" s="55">
      <c r="B84" s="77" t="n"/>
      <c r="C84" s="77" t="n"/>
    </row>
    <row r="85" ht="12.75" customHeight="1" s="55">
      <c r="B85" s="77" t="n"/>
      <c r="C85" s="77" t="n"/>
      <c r="E85" s="71" t="inlineStr">
        <is>
          <t>Above 75% (Eligible)</t>
        </is>
      </c>
      <c r="F85" s="71" t="n"/>
      <c r="G85" s="71" t="n"/>
      <c r="H85" s="105">
        <f>COUNTIF(H11:H80,"&gt;=75")</f>
        <v/>
      </c>
    </row>
    <row r="86" ht="12.75" customHeight="1" s="55">
      <c r="B86" s="77" t="n"/>
      <c r="C86" s="77" t="n"/>
      <c r="E86" s="71" t="inlineStr">
        <is>
          <t>74% to 65% (Eligible to MC submitted)</t>
        </is>
      </c>
      <c r="F86" s="71" t="n"/>
      <c r="G86" s="71" t="n"/>
      <c r="H86" s="105">
        <f>COUNTIFS(H11:H80,"&gt;=65",H11:H80,"&lt;=74")</f>
        <v/>
      </c>
    </row>
    <row r="87" ht="12.75" customHeight="1" s="55">
      <c r="B87" s="77" t="n"/>
      <c r="C87" s="77" t="n"/>
      <c r="E87" s="71" t="inlineStr">
        <is>
          <t>Below 65% (Ineligible)</t>
        </is>
      </c>
      <c r="F87" s="71" t="n"/>
      <c r="G87" s="71" t="n"/>
      <c r="H87" s="105">
        <f>COUNTIF(H11:H80,"&lt;65")</f>
        <v/>
      </c>
    </row>
    <row r="88" ht="12.75" customHeight="1" s="55">
      <c r="B88" s="77" t="n"/>
      <c r="C88" s="77" t="n"/>
    </row>
    <row r="89" ht="12.75" customHeight="1" s="55">
      <c r="B89" s="77" t="n"/>
      <c r="C89" s="77" t="n"/>
    </row>
    <row r="90" ht="12.75" customHeight="1" s="55">
      <c r="B90" s="77" t="n"/>
      <c r="C90" s="77" t="n"/>
    </row>
    <row r="91" ht="12.75" customHeight="1" s="55">
      <c r="B91" s="77" t="n"/>
      <c r="C91" s="77" t="n"/>
    </row>
    <row r="92" ht="12.75" customHeight="1" s="55">
      <c r="B92" s="77" t="n"/>
      <c r="C92" s="77" t="n"/>
    </row>
    <row r="93" ht="12.75" customHeight="1" s="55">
      <c r="B93" s="77" t="n"/>
      <c r="C93" s="77" t="n"/>
    </row>
    <row r="94" ht="12.75" customHeight="1" s="55">
      <c r="B94" s="77" t="n"/>
      <c r="C94" s="77" t="n"/>
    </row>
    <row r="95" ht="12.75" customHeight="1" s="55">
      <c r="B95" s="77" t="n"/>
      <c r="C95" s="77" t="n"/>
    </row>
    <row r="96" ht="12.75" customHeight="1" s="55">
      <c r="B96" s="77" t="n"/>
      <c r="C96" s="77" t="n"/>
    </row>
    <row r="97" ht="12.75" customHeight="1" s="55">
      <c r="B97" s="77" t="n"/>
      <c r="C97" s="77" t="n"/>
    </row>
    <row r="98" ht="12.75" customHeight="1" s="55">
      <c r="B98" s="77" t="n"/>
      <c r="C98" s="77" t="n"/>
    </row>
    <row r="99" ht="12.75" customHeight="1" s="55">
      <c r="B99" s="77" t="n"/>
      <c r="C99" s="77" t="n"/>
    </row>
    <row r="100" ht="12.75" customHeight="1" s="55">
      <c r="B100" s="77" t="n"/>
      <c r="C100" s="77" t="n"/>
    </row>
    <row r="101" ht="12.75" customHeight="1" s="55">
      <c r="B101" s="77" t="n"/>
      <c r="C101" s="77" t="n"/>
    </row>
    <row r="102" ht="12.75" customHeight="1" s="55">
      <c r="B102" s="77" t="n"/>
      <c r="C102" s="77" t="n"/>
    </row>
    <row r="103" ht="12.75" customHeight="1" s="55">
      <c r="B103" s="77" t="n"/>
      <c r="C103" s="77" t="n"/>
    </row>
    <row r="104" ht="12.75" customHeight="1" s="55">
      <c r="B104" s="77" t="n"/>
      <c r="C104" s="77" t="n"/>
    </row>
    <row r="105" ht="12.75" customHeight="1" s="55">
      <c r="B105" s="77" t="n"/>
      <c r="C105" s="77" t="n"/>
    </row>
    <row r="106" ht="12.75" customHeight="1" s="55">
      <c r="B106" s="77" t="n"/>
      <c r="C106" s="77" t="n"/>
    </row>
    <row r="107" ht="12.75" customHeight="1" s="55">
      <c r="B107" s="77" t="n"/>
      <c r="C107" s="77" t="n"/>
    </row>
    <row r="108" ht="12.75" customHeight="1" s="55">
      <c r="B108" s="77" t="n"/>
      <c r="C108" s="77" t="n"/>
    </row>
    <row r="109" ht="12.75" customHeight="1" s="55">
      <c r="B109" s="77" t="n"/>
      <c r="C109" s="77" t="n"/>
    </row>
    <row r="110" ht="12.75" customHeight="1" s="55">
      <c r="B110" s="77" t="n"/>
      <c r="C110" s="77" t="n"/>
    </row>
    <row r="111" ht="12.75" customHeight="1" s="55">
      <c r="B111" s="77" t="n"/>
      <c r="C111" s="77" t="n"/>
    </row>
    <row r="112" ht="12.75" customHeight="1" s="55">
      <c r="B112" s="77" t="n"/>
      <c r="C112" s="77" t="n"/>
    </row>
    <row r="113" ht="12.75" customHeight="1" s="55">
      <c r="B113" s="77" t="n"/>
      <c r="C113" s="77" t="n"/>
    </row>
    <row r="114" ht="12.75" customHeight="1" s="55">
      <c r="B114" s="77" t="n"/>
      <c r="C114" s="77" t="n"/>
    </row>
    <row r="115" ht="12.75" customHeight="1" s="55">
      <c r="B115" s="77" t="n"/>
      <c r="C115" s="77" t="n"/>
    </row>
    <row r="116" ht="12.75" customHeight="1" s="55">
      <c r="B116" s="77" t="n"/>
      <c r="C116" s="77" t="n"/>
    </row>
    <row r="117" ht="12.75" customHeight="1" s="55">
      <c r="B117" s="77" t="n"/>
      <c r="C117" s="77" t="n"/>
    </row>
    <row r="118" ht="12.75" customHeight="1" s="55">
      <c r="B118" s="77" t="n"/>
      <c r="C118" s="77" t="n"/>
    </row>
    <row r="119" ht="12.75" customHeight="1" s="55">
      <c r="B119" s="77" t="n"/>
      <c r="C119" s="77" t="n"/>
    </row>
    <row r="120" ht="12.75" customHeight="1" s="55">
      <c r="B120" s="77" t="n"/>
      <c r="C120" s="77" t="n"/>
    </row>
    <row r="121" ht="12.75" customHeight="1" s="55">
      <c r="B121" s="77" t="n"/>
      <c r="C121" s="77" t="n"/>
    </row>
    <row r="122" ht="12.75" customHeight="1" s="55">
      <c r="B122" s="77" t="n"/>
      <c r="C122" s="77" t="n"/>
    </row>
    <row r="123" ht="12.75" customHeight="1" s="55">
      <c r="B123" s="77" t="n"/>
      <c r="C123" s="77" t="n"/>
    </row>
    <row r="124" ht="12.75" customHeight="1" s="55">
      <c r="B124" s="77" t="n"/>
      <c r="C124" s="77" t="n"/>
    </row>
    <row r="125" ht="12.75" customHeight="1" s="55">
      <c r="B125" s="77" t="n"/>
      <c r="C125" s="77" t="n"/>
    </row>
    <row r="126" ht="12.75" customHeight="1" s="55">
      <c r="B126" s="77" t="n"/>
      <c r="C126" s="77" t="n"/>
    </row>
    <row r="127" ht="12.75" customHeight="1" s="55">
      <c r="B127" s="77" t="n"/>
      <c r="C127" s="77" t="n"/>
    </row>
    <row r="128" ht="12.75" customHeight="1" s="55">
      <c r="B128" s="77" t="n"/>
      <c r="C128" s="77" t="n"/>
    </row>
    <row r="129" ht="12.75" customHeight="1" s="55">
      <c r="B129" s="77" t="n"/>
      <c r="C129" s="77" t="n"/>
    </row>
    <row r="130" ht="12.75" customHeight="1" s="55">
      <c r="B130" s="77" t="n"/>
      <c r="C130" s="77" t="n"/>
    </row>
    <row r="131" ht="12.75" customHeight="1" s="55">
      <c r="B131" s="77" t="n"/>
      <c r="C131" s="77" t="n"/>
    </row>
    <row r="132" ht="12.75" customHeight="1" s="55">
      <c r="B132" s="77" t="n"/>
      <c r="C132" s="77" t="n"/>
    </row>
    <row r="133" ht="12.75" customHeight="1" s="55">
      <c r="B133" s="77" t="n"/>
      <c r="C133" s="77" t="n"/>
    </row>
    <row r="134" ht="12.75" customHeight="1" s="55">
      <c r="B134" s="77" t="n"/>
      <c r="C134" s="77" t="n"/>
    </row>
    <row r="135" ht="12.75" customHeight="1" s="55">
      <c r="B135" s="77" t="n"/>
      <c r="C135" s="77" t="n"/>
    </row>
    <row r="136" ht="12.75" customHeight="1" s="55">
      <c r="B136" s="77" t="n"/>
      <c r="C136" s="77" t="n"/>
    </row>
    <row r="137" ht="12.75" customHeight="1" s="55">
      <c r="B137" s="77" t="n"/>
      <c r="C137" s="77" t="n"/>
    </row>
    <row r="138" ht="12.75" customHeight="1" s="55">
      <c r="B138" s="77" t="n"/>
      <c r="C138" s="77" t="n"/>
    </row>
    <row r="139" ht="12.75" customHeight="1" s="55">
      <c r="B139" s="77" t="n"/>
      <c r="C139" s="77" t="n"/>
    </row>
    <row r="140" ht="12.75" customHeight="1" s="55">
      <c r="B140" s="77" t="n"/>
      <c r="C140" s="77" t="n"/>
    </row>
    <row r="141" ht="12.75" customHeight="1" s="55">
      <c r="B141" s="77" t="n"/>
      <c r="C141" s="77" t="n"/>
    </row>
    <row r="142" ht="12.75" customHeight="1" s="55">
      <c r="B142" s="77" t="n"/>
      <c r="C142" s="77" t="n"/>
    </row>
    <row r="143" ht="12.75" customHeight="1" s="55">
      <c r="B143" s="77" t="n"/>
      <c r="C143" s="77" t="n"/>
    </row>
    <row r="144" ht="12.75" customHeight="1" s="55">
      <c r="B144" s="77" t="n"/>
      <c r="C144" s="77" t="n"/>
    </row>
    <row r="145" ht="12.75" customHeight="1" s="55">
      <c r="B145" s="77" t="n"/>
      <c r="C145" s="77" t="n"/>
    </row>
    <row r="146" ht="12.75" customHeight="1" s="55">
      <c r="B146" s="77" t="n"/>
      <c r="C146" s="77" t="n"/>
    </row>
    <row r="147" ht="12.75" customHeight="1" s="55">
      <c r="B147" s="77" t="n"/>
      <c r="C147" s="77" t="n"/>
    </row>
    <row r="148" ht="12.75" customHeight="1" s="55">
      <c r="B148" s="77" t="n"/>
      <c r="C148" s="77" t="n"/>
    </row>
    <row r="149" ht="12.75" customHeight="1" s="55">
      <c r="B149" s="77" t="n"/>
      <c r="C149" s="77" t="n"/>
    </row>
    <row r="150" ht="12.75" customHeight="1" s="55">
      <c r="B150" s="77" t="n"/>
      <c r="C150" s="77" t="n"/>
    </row>
    <row r="151" ht="12.75" customHeight="1" s="55">
      <c r="B151" s="77" t="n"/>
      <c r="C151" s="77" t="n"/>
    </row>
    <row r="152" ht="12.75" customHeight="1" s="55">
      <c r="B152" s="77" t="n"/>
      <c r="C152" s="77" t="n"/>
    </row>
    <row r="153" ht="12.75" customHeight="1" s="55">
      <c r="B153" s="77" t="n"/>
      <c r="C153" s="77" t="n"/>
    </row>
    <row r="154" ht="12.75" customHeight="1" s="55">
      <c r="B154" s="77" t="n"/>
      <c r="C154" s="77" t="n"/>
    </row>
    <row r="155" ht="12.75" customHeight="1" s="55">
      <c r="B155" s="77" t="n"/>
      <c r="C155" s="77" t="n"/>
    </row>
    <row r="156" ht="12.75" customHeight="1" s="55">
      <c r="B156" s="77" t="n"/>
      <c r="C156" s="77" t="n"/>
    </row>
    <row r="157" ht="12.75" customHeight="1" s="55">
      <c r="B157" s="77" t="n"/>
      <c r="C157" s="77" t="n"/>
    </row>
    <row r="158" ht="12.75" customHeight="1" s="55">
      <c r="B158" s="77" t="n"/>
      <c r="C158" s="77" t="n"/>
    </row>
    <row r="159" ht="12.75" customHeight="1" s="55">
      <c r="B159" s="77" t="n"/>
      <c r="C159" s="77" t="n"/>
    </row>
    <row r="160" ht="12.75" customHeight="1" s="55">
      <c r="B160" s="77" t="n"/>
      <c r="C160" s="77" t="n"/>
    </row>
    <row r="161" ht="12.75" customHeight="1" s="55">
      <c r="B161" s="77" t="n"/>
      <c r="C161" s="77" t="n"/>
    </row>
    <row r="162" ht="12.75" customHeight="1" s="55">
      <c r="B162" s="77" t="n"/>
      <c r="C162" s="77" t="n"/>
    </row>
    <row r="163" ht="12.75" customHeight="1" s="55">
      <c r="B163" s="77" t="n"/>
      <c r="C163" s="77" t="n"/>
    </row>
    <row r="164" ht="12.75" customHeight="1" s="55">
      <c r="B164" s="77" t="n"/>
      <c r="C164" s="77" t="n"/>
    </row>
    <row r="165" ht="12.75" customHeight="1" s="55">
      <c r="B165" s="77" t="n"/>
      <c r="C165" s="77" t="n"/>
    </row>
    <row r="166" ht="12.75" customHeight="1" s="55">
      <c r="B166" s="77" t="n"/>
      <c r="C166" s="77" t="n"/>
    </row>
    <row r="167" ht="12.75" customHeight="1" s="55">
      <c r="B167" s="77" t="n"/>
      <c r="C167" s="77" t="n"/>
    </row>
    <row r="168" ht="12.75" customHeight="1" s="55">
      <c r="B168" s="77" t="n"/>
      <c r="C168" s="77" t="n"/>
    </row>
    <row r="169" ht="12.75" customHeight="1" s="55">
      <c r="B169" s="77" t="n"/>
      <c r="C169" s="77" t="n"/>
    </row>
    <row r="170" ht="12.75" customHeight="1" s="55">
      <c r="B170" s="77" t="n"/>
      <c r="C170" s="77" t="n"/>
    </row>
    <row r="171" ht="12.75" customHeight="1" s="55">
      <c r="B171" s="77" t="n"/>
      <c r="C171" s="77" t="n"/>
    </row>
    <row r="172" ht="12.75" customHeight="1" s="55">
      <c r="B172" s="77" t="n"/>
      <c r="C172" s="77" t="n"/>
    </row>
    <row r="173" ht="12.75" customHeight="1" s="55">
      <c r="B173" s="77" t="n"/>
      <c r="C173" s="77" t="n"/>
    </row>
    <row r="174" ht="12.75" customHeight="1" s="55">
      <c r="B174" s="77" t="n"/>
      <c r="C174" s="77" t="n"/>
    </row>
    <row r="175" ht="12.75" customHeight="1" s="55">
      <c r="B175" s="77" t="n"/>
      <c r="C175" s="77" t="n"/>
    </row>
    <row r="176" ht="12.75" customHeight="1" s="55">
      <c r="B176" s="77" t="n"/>
      <c r="C176" s="77" t="n"/>
    </row>
    <row r="177" ht="12.75" customHeight="1" s="55">
      <c r="B177" s="77" t="n"/>
      <c r="C177" s="77" t="n"/>
    </row>
    <row r="178" ht="12.75" customHeight="1" s="55">
      <c r="B178" s="77" t="n"/>
      <c r="C178" s="77" t="n"/>
    </row>
    <row r="179" ht="12.75" customHeight="1" s="55">
      <c r="B179" s="77" t="n"/>
      <c r="C179" s="77" t="n"/>
    </row>
    <row r="180" ht="12.75" customHeight="1" s="55">
      <c r="B180" s="77" t="n"/>
      <c r="C180" s="77" t="n"/>
    </row>
    <row r="181" ht="12.75" customHeight="1" s="55">
      <c r="B181" s="77" t="n"/>
      <c r="C181" s="77" t="n"/>
    </row>
    <row r="182" ht="12.75" customHeight="1" s="55">
      <c r="B182" s="77" t="n"/>
      <c r="C182" s="77" t="n"/>
    </row>
    <row r="183" ht="12.75" customHeight="1" s="55">
      <c r="B183" s="77" t="n"/>
      <c r="C183" s="77" t="n"/>
    </row>
    <row r="184" ht="12.75" customHeight="1" s="55">
      <c r="B184" s="77" t="n"/>
      <c r="C184" s="77" t="n"/>
    </row>
    <row r="185" ht="12.75" customHeight="1" s="55">
      <c r="B185" s="77" t="n"/>
      <c r="C185" s="77" t="n"/>
    </row>
    <row r="186" ht="12.75" customHeight="1" s="55">
      <c r="B186" s="77" t="n"/>
      <c r="C186" s="77" t="n"/>
    </row>
    <row r="187" ht="12.75" customHeight="1" s="55">
      <c r="B187" s="77" t="n"/>
      <c r="C187" s="77" t="n"/>
    </row>
    <row r="188" ht="12.75" customHeight="1" s="55">
      <c r="B188" s="77" t="n"/>
      <c r="C188" s="77" t="n"/>
    </row>
    <row r="189" ht="12.75" customHeight="1" s="55">
      <c r="B189" s="77" t="n"/>
      <c r="C189" s="77" t="n"/>
    </row>
    <row r="190" ht="12.75" customHeight="1" s="55">
      <c r="B190" s="77" t="n"/>
      <c r="C190" s="77" t="n"/>
    </row>
    <row r="191" ht="12.75" customHeight="1" s="55">
      <c r="B191" s="77" t="n"/>
      <c r="C191" s="77" t="n"/>
    </row>
    <row r="192" ht="12.75" customHeight="1" s="55">
      <c r="B192" s="77" t="n"/>
      <c r="C192" s="77" t="n"/>
    </row>
    <row r="193" ht="12.75" customHeight="1" s="55">
      <c r="B193" s="77" t="n"/>
      <c r="C193" s="77" t="n"/>
    </row>
    <row r="194" ht="12.75" customHeight="1" s="55">
      <c r="B194" s="77" t="n"/>
      <c r="C194" s="77" t="n"/>
    </row>
    <row r="195" ht="12.75" customHeight="1" s="55">
      <c r="B195" s="77" t="n"/>
      <c r="C195" s="77" t="n"/>
    </row>
    <row r="196" ht="12.75" customHeight="1" s="55">
      <c r="B196" s="77" t="n"/>
      <c r="C196" s="77" t="n"/>
    </row>
    <row r="197" ht="12.75" customHeight="1" s="55">
      <c r="B197" s="77" t="n"/>
      <c r="C197" s="77" t="n"/>
    </row>
    <row r="198" ht="12.75" customHeight="1" s="55">
      <c r="B198" s="77" t="n"/>
      <c r="C198" s="77" t="n"/>
    </row>
    <row r="199" ht="12.75" customHeight="1" s="55">
      <c r="B199" s="77" t="n"/>
      <c r="C199" s="77" t="n"/>
    </row>
    <row r="200" ht="12.75" customHeight="1" s="55">
      <c r="B200" s="77" t="n"/>
      <c r="C200" s="77" t="n"/>
    </row>
    <row r="201" ht="12.75" customHeight="1" s="55">
      <c r="B201" s="77" t="n"/>
      <c r="C201" s="77" t="n"/>
    </row>
    <row r="202" ht="12.75" customHeight="1" s="55">
      <c r="B202" s="77" t="n"/>
      <c r="C202" s="77" t="n"/>
    </row>
    <row r="203" ht="12.75" customHeight="1" s="55">
      <c r="B203" s="77" t="n"/>
      <c r="C203" s="77" t="n"/>
    </row>
    <row r="204" ht="12.75" customHeight="1" s="55">
      <c r="B204" s="77" t="n"/>
      <c r="C204" s="77" t="n"/>
    </row>
    <row r="205" ht="12.75" customHeight="1" s="55">
      <c r="B205" s="77" t="n"/>
      <c r="C205" s="77" t="n"/>
    </row>
    <row r="206" ht="12.75" customHeight="1" s="55">
      <c r="B206" s="77" t="n"/>
      <c r="C206" s="77" t="n"/>
    </row>
    <row r="207" ht="12.75" customHeight="1" s="55">
      <c r="B207" s="77" t="n"/>
      <c r="C207" s="77" t="n"/>
    </row>
    <row r="208" ht="12.75" customHeight="1" s="55">
      <c r="B208" s="77" t="n"/>
      <c r="C208" s="77" t="n"/>
    </row>
    <row r="209" ht="12.75" customHeight="1" s="55">
      <c r="B209" s="77" t="n"/>
      <c r="C209" s="77" t="n"/>
    </row>
    <row r="210" ht="12.75" customHeight="1" s="55">
      <c r="B210" s="77" t="n"/>
      <c r="C210" s="77" t="n"/>
    </row>
    <row r="211" ht="12.75" customHeight="1" s="55">
      <c r="B211" s="77" t="n"/>
      <c r="C211" s="77" t="n"/>
    </row>
    <row r="212" ht="12.75" customHeight="1" s="55">
      <c r="B212" s="77" t="n"/>
      <c r="C212" s="77" t="n"/>
    </row>
    <row r="213" ht="12.75" customHeight="1" s="55">
      <c r="B213" s="77" t="n"/>
      <c r="C213" s="77" t="n"/>
    </row>
    <row r="214" ht="12.75" customHeight="1" s="55">
      <c r="B214" s="77" t="n"/>
      <c r="C214" s="77" t="n"/>
    </row>
    <row r="215" ht="12.75" customHeight="1" s="55">
      <c r="B215" s="77" t="n"/>
      <c r="C215" s="77" t="n"/>
    </row>
    <row r="216" ht="12.75" customHeight="1" s="55">
      <c r="B216" s="77" t="n"/>
      <c r="C216" s="77" t="n"/>
    </row>
    <row r="217" ht="12.75" customHeight="1" s="55">
      <c r="B217" s="77" t="n"/>
      <c r="C217" s="77" t="n"/>
    </row>
    <row r="218" ht="12.75" customHeight="1" s="55">
      <c r="B218" s="77" t="n"/>
      <c r="C218" s="77" t="n"/>
    </row>
    <row r="219" ht="12.75" customHeight="1" s="55">
      <c r="B219" s="77" t="n"/>
      <c r="C219" s="77" t="n"/>
    </row>
    <row r="220" ht="12.75" customHeight="1" s="55">
      <c r="B220" s="77" t="n"/>
      <c r="C220" s="77" t="n"/>
    </row>
    <row r="221" ht="12.75" customHeight="1" s="55">
      <c r="B221" s="77" t="n"/>
      <c r="C221" s="77" t="n"/>
    </row>
    <row r="222" ht="12.75" customHeight="1" s="55">
      <c r="B222" s="77" t="n"/>
      <c r="C222" s="77" t="n"/>
    </row>
    <row r="223" ht="12.75" customHeight="1" s="55">
      <c r="B223" s="77" t="n"/>
      <c r="C223" s="77" t="n"/>
    </row>
    <row r="224" ht="12.75" customHeight="1" s="55">
      <c r="B224" s="77" t="n"/>
      <c r="C224" s="77" t="n"/>
    </row>
    <row r="225" ht="12.75" customHeight="1" s="55">
      <c r="B225" s="77" t="n"/>
      <c r="C225" s="77" t="n"/>
    </row>
    <row r="226" ht="12.75" customHeight="1" s="55">
      <c r="B226" s="77" t="n"/>
      <c r="C226" s="77" t="n"/>
    </row>
    <row r="227" ht="12.75" customHeight="1" s="55">
      <c r="B227" s="77" t="n"/>
      <c r="C227" s="77" t="n"/>
    </row>
    <row r="228" ht="12.75" customHeight="1" s="55">
      <c r="B228" s="77" t="n"/>
      <c r="C228" s="77" t="n"/>
    </row>
    <row r="229" ht="12.75" customHeight="1" s="55">
      <c r="B229" s="77" t="n"/>
      <c r="C229" s="77" t="n"/>
    </row>
    <row r="230" ht="12.75" customHeight="1" s="55">
      <c r="B230" s="77" t="n"/>
      <c r="C230" s="77" t="n"/>
    </row>
    <row r="231" ht="12.75" customHeight="1" s="55">
      <c r="B231" s="77" t="n"/>
      <c r="C231" s="77" t="n"/>
    </row>
    <row r="232" ht="12.75" customHeight="1" s="55">
      <c r="B232" s="77" t="n"/>
      <c r="C232" s="77" t="n"/>
    </row>
    <row r="233" ht="12.75" customHeight="1" s="55">
      <c r="B233" s="77" t="n"/>
      <c r="C233" s="77" t="n"/>
    </row>
    <row r="234" ht="12.75" customHeight="1" s="55">
      <c r="B234" s="77" t="n"/>
      <c r="C234" s="77" t="n"/>
    </row>
    <row r="235" ht="12.75" customHeight="1" s="55">
      <c r="B235" s="77" t="n"/>
      <c r="C235" s="77" t="n"/>
    </row>
    <row r="236" ht="12.75" customHeight="1" s="55">
      <c r="B236" s="77" t="n"/>
      <c r="C236" s="77" t="n"/>
    </row>
    <row r="237" ht="12.75" customHeight="1" s="55">
      <c r="B237" s="77" t="n"/>
      <c r="C237" s="77" t="n"/>
    </row>
    <row r="238" ht="12.75" customHeight="1" s="55">
      <c r="B238" s="77" t="n"/>
      <c r="C238" s="77" t="n"/>
    </row>
    <row r="239" ht="12.75" customHeight="1" s="55">
      <c r="B239" s="77" t="n"/>
      <c r="C239" s="77" t="n"/>
    </row>
    <row r="240" ht="12.75" customHeight="1" s="55">
      <c r="B240" s="77" t="n"/>
      <c r="C240" s="77" t="n"/>
    </row>
    <row r="241" ht="12.75" customHeight="1" s="55">
      <c r="B241" s="77" t="n"/>
      <c r="C241" s="77" t="n"/>
    </row>
    <row r="242" ht="12.75" customHeight="1" s="55">
      <c r="B242" s="77" t="n"/>
      <c r="C242" s="77" t="n"/>
    </row>
    <row r="243" ht="12.75" customHeight="1" s="55">
      <c r="B243" s="77" t="n"/>
      <c r="C243" s="77" t="n"/>
    </row>
    <row r="244" ht="12.75" customHeight="1" s="55">
      <c r="B244" s="77" t="n"/>
      <c r="C244" s="77" t="n"/>
    </row>
    <row r="245" ht="12.75" customHeight="1" s="55">
      <c r="B245" s="77" t="n"/>
      <c r="C245" s="77" t="n"/>
    </row>
    <row r="246" ht="12.75" customHeight="1" s="55">
      <c r="B246" s="77" t="n"/>
      <c r="C246" s="77" t="n"/>
    </row>
    <row r="247" ht="12.75" customHeight="1" s="55">
      <c r="B247" s="77" t="n"/>
      <c r="C247" s="77" t="n"/>
    </row>
    <row r="248" ht="12.75" customHeight="1" s="55">
      <c r="B248" s="77" t="n"/>
      <c r="C248" s="77" t="n"/>
    </row>
    <row r="249" ht="12.75" customHeight="1" s="55">
      <c r="B249" s="77" t="n"/>
      <c r="C249" s="77" t="n"/>
    </row>
    <row r="250" ht="12.75" customHeight="1" s="55">
      <c r="B250" s="77" t="n"/>
      <c r="C250" s="77" t="n"/>
    </row>
    <row r="251" ht="12.75" customHeight="1" s="55">
      <c r="B251" s="77" t="n"/>
      <c r="C251" s="77" t="n"/>
    </row>
    <row r="252" ht="12.75" customHeight="1" s="55">
      <c r="B252" s="77" t="n"/>
      <c r="C252" s="77" t="n"/>
    </row>
    <row r="253" ht="12.75" customHeight="1" s="55">
      <c r="B253" s="77" t="n"/>
      <c r="C253" s="77" t="n"/>
    </row>
    <row r="254" ht="12.75" customHeight="1" s="55">
      <c r="B254" s="77" t="n"/>
      <c r="C254" s="77" t="n"/>
    </row>
    <row r="255" ht="12.75" customHeight="1" s="55">
      <c r="B255" s="77" t="n"/>
      <c r="C255" s="77" t="n"/>
    </row>
    <row r="256" ht="12.75" customHeight="1" s="55">
      <c r="B256" s="77" t="n"/>
      <c r="C256" s="77" t="n"/>
    </row>
    <row r="257" ht="12.75" customHeight="1" s="55">
      <c r="B257" s="77" t="n"/>
      <c r="C257" s="77" t="n"/>
    </row>
    <row r="258" ht="12.75" customHeight="1" s="55">
      <c r="B258" s="77" t="n"/>
      <c r="C258" s="77" t="n"/>
    </row>
    <row r="259" ht="12.75" customHeight="1" s="55">
      <c r="B259" s="77" t="n"/>
      <c r="C259" s="77" t="n"/>
    </row>
    <row r="260" ht="12.75" customHeight="1" s="55">
      <c r="B260" s="77" t="n"/>
      <c r="C260" s="77" t="n"/>
    </row>
    <row r="261" ht="12.75" customHeight="1" s="55">
      <c r="B261" s="77" t="n"/>
      <c r="C261" s="77" t="n"/>
    </row>
    <row r="262" ht="12.75" customHeight="1" s="55">
      <c r="B262" s="77" t="n"/>
      <c r="C262" s="77" t="n"/>
    </row>
    <row r="263" ht="12.75" customHeight="1" s="55">
      <c r="B263" s="77" t="n"/>
      <c r="C263" s="77" t="n"/>
    </row>
    <row r="264" ht="12.75" customHeight="1" s="55">
      <c r="B264" s="77" t="n"/>
      <c r="C264" s="77" t="n"/>
    </row>
    <row r="265" ht="12.75" customHeight="1" s="55">
      <c r="B265" s="77" t="n"/>
      <c r="C265" s="77" t="n"/>
    </row>
    <row r="266" ht="12.75" customHeight="1" s="55">
      <c r="B266" s="77" t="n"/>
      <c r="C266" s="77" t="n"/>
    </row>
    <row r="267" ht="12.75" customHeight="1" s="55">
      <c r="B267" s="77" t="n"/>
      <c r="C267" s="77" t="n"/>
    </row>
    <row r="268" ht="12.75" customHeight="1" s="55">
      <c r="B268" s="77" t="n"/>
      <c r="C268" s="77" t="n"/>
    </row>
    <row r="269" ht="12.75" customHeight="1" s="55">
      <c r="B269" s="77" t="n"/>
      <c r="C269" s="77" t="n"/>
    </row>
    <row r="270" ht="12.75" customHeight="1" s="55">
      <c r="B270" s="77" t="n"/>
      <c r="C270" s="77" t="n"/>
    </row>
    <row r="271" ht="12.75" customHeight="1" s="55">
      <c r="B271" s="77" t="n"/>
      <c r="C271" s="77" t="n"/>
    </row>
    <row r="272" ht="12.75" customHeight="1" s="55">
      <c r="B272" s="77" t="n"/>
      <c r="C272" s="77" t="n"/>
    </row>
    <row r="273" ht="12.75" customHeight="1" s="55">
      <c r="B273" s="77" t="n"/>
      <c r="C273" s="77" t="n"/>
    </row>
    <row r="274" ht="12.75" customHeight="1" s="55">
      <c r="B274" s="77" t="n"/>
      <c r="C274" s="77" t="n"/>
    </row>
    <row r="275" ht="12.75" customHeight="1" s="55">
      <c r="B275" s="77" t="n"/>
      <c r="C275" s="77" t="n"/>
    </row>
    <row r="276" ht="12.75" customHeight="1" s="55">
      <c r="B276" s="77" t="n"/>
      <c r="C276" s="77" t="n"/>
    </row>
    <row r="277" ht="12.75" customHeight="1" s="55">
      <c r="B277" s="77" t="n"/>
      <c r="C277" s="77" t="n"/>
    </row>
    <row r="278" ht="12.75" customHeight="1" s="55">
      <c r="B278" s="77" t="n"/>
      <c r="C278" s="77" t="n"/>
    </row>
    <row r="279" ht="12.75" customHeight="1" s="55">
      <c r="B279" s="77" t="n"/>
      <c r="C279" s="77" t="n"/>
    </row>
    <row r="280" ht="12.75" customHeight="1" s="55">
      <c r="B280" s="77" t="n"/>
      <c r="C280" s="77" t="n"/>
    </row>
    <row r="281" ht="12.75" customHeight="1" s="55">
      <c r="B281" s="77" t="n"/>
      <c r="C281" s="77" t="n"/>
    </row>
    <row r="282" ht="12.75" customHeight="1" s="55">
      <c r="B282" s="77" t="n"/>
      <c r="C282" s="77" t="n"/>
    </row>
    <row r="283" ht="12.75" customHeight="1" s="55">
      <c r="B283" s="77" t="n"/>
      <c r="C283" s="77" t="n"/>
    </row>
    <row r="284" ht="12.75" customHeight="1" s="55">
      <c r="B284" s="77" t="n"/>
      <c r="C284" s="77" t="n"/>
    </row>
    <row r="285" ht="12.75" customHeight="1" s="55">
      <c r="B285" s="77" t="n"/>
      <c r="C285" s="77" t="n"/>
    </row>
    <row r="286" ht="12.75" customHeight="1" s="55">
      <c r="B286" s="77" t="n"/>
      <c r="C286" s="77" t="n"/>
    </row>
    <row r="287" ht="12.75" customHeight="1" s="55">
      <c r="B287" s="77" t="n"/>
      <c r="C287" s="77" t="n"/>
    </row>
    <row r="288" ht="12.75" customHeight="1" s="55">
      <c r="B288" s="77" t="n"/>
      <c r="C288" s="77" t="n"/>
    </row>
    <row r="289" ht="12.75" customHeight="1" s="55">
      <c r="B289" s="77" t="n"/>
      <c r="C289" s="77" t="n"/>
    </row>
    <row r="290" ht="12.75" customHeight="1" s="55">
      <c r="B290" s="77" t="n"/>
      <c r="C290" s="77" t="n"/>
    </row>
    <row r="291" ht="12.75" customHeight="1" s="55">
      <c r="B291" s="77" t="n"/>
      <c r="C291" s="77" t="n"/>
    </row>
    <row r="292" ht="12.75" customHeight="1" s="55">
      <c r="B292" s="77" t="n"/>
      <c r="C292" s="77" t="n"/>
    </row>
    <row r="293" ht="12.75" customHeight="1" s="55">
      <c r="B293" s="77" t="n"/>
      <c r="C293" s="77" t="n"/>
    </row>
    <row r="294" ht="12.75" customHeight="1" s="55">
      <c r="B294" s="77" t="n"/>
      <c r="C294" s="77" t="n"/>
    </row>
    <row r="295" ht="12.75" customHeight="1" s="55">
      <c r="B295" s="77" t="n"/>
      <c r="C295" s="77" t="n"/>
    </row>
    <row r="296" ht="12.75" customHeight="1" s="55">
      <c r="B296" s="77" t="n"/>
      <c r="C296" s="77" t="n"/>
    </row>
    <row r="297" ht="12.75" customHeight="1" s="55">
      <c r="B297" s="77" t="n"/>
      <c r="C297" s="77" t="n"/>
    </row>
    <row r="298" ht="12.75" customHeight="1" s="55">
      <c r="B298" s="77" t="n"/>
      <c r="C298" s="77" t="n"/>
    </row>
    <row r="299" ht="12.75" customHeight="1" s="55">
      <c r="B299" s="77" t="n"/>
      <c r="C299" s="77" t="n"/>
    </row>
    <row r="300" ht="12.75" customHeight="1" s="55">
      <c r="B300" s="77" t="n"/>
      <c r="C300" s="77" t="n"/>
    </row>
    <row r="301" ht="12.75" customHeight="1" s="55">
      <c r="B301" s="77" t="n"/>
      <c r="C301" s="77" t="n"/>
    </row>
    <row r="302" ht="12.75" customHeight="1" s="55">
      <c r="B302" s="77" t="n"/>
      <c r="C302" s="77" t="n"/>
    </row>
    <row r="303" ht="12.75" customHeight="1" s="55">
      <c r="B303" s="77" t="n"/>
      <c r="C303" s="77" t="n"/>
    </row>
    <row r="304" ht="12.75" customHeight="1" s="55">
      <c r="B304" s="77" t="n"/>
      <c r="C304" s="77" t="n"/>
    </row>
    <row r="305" ht="12.75" customHeight="1" s="55">
      <c r="B305" s="77" t="n"/>
      <c r="C305" s="77" t="n"/>
    </row>
    <row r="306" ht="12.75" customHeight="1" s="55">
      <c r="B306" s="77" t="n"/>
      <c r="C306" s="77" t="n"/>
    </row>
    <row r="307" ht="12.75" customHeight="1" s="55">
      <c r="B307" s="77" t="n"/>
      <c r="C307" s="77" t="n"/>
    </row>
    <row r="308" ht="12.75" customHeight="1" s="55">
      <c r="B308" s="77" t="n"/>
      <c r="C308" s="77" t="n"/>
    </row>
    <row r="309" ht="12.75" customHeight="1" s="55">
      <c r="B309" s="77" t="n"/>
      <c r="C309" s="77" t="n"/>
    </row>
    <row r="310" ht="12.75" customHeight="1" s="55">
      <c r="B310" s="77" t="n"/>
      <c r="C310" s="77" t="n"/>
    </row>
    <row r="311" ht="12.75" customHeight="1" s="55">
      <c r="B311" s="77" t="n"/>
      <c r="C311" s="77" t="n"/>
    </row>
    <row r="312" ht="12.75" customHeight="1" s="55">
      <c r="B312" s="77" t="n"/>
      <c r="C312" s="77" t="n"/>
    </row>
    <row r="313" ht="12.75" customHeight="1" s="55">
      <c r="B313" s="77" t="n"/>
      <c r="C313" s="77" t="n"/>
    </row>
    <row r="314" ht="12.75" customHeight="1" s="55">
      <c r="B314" s="77" t="n"/>
      <c r="C314" s="77" t="n"/>
    </row>
    <row r="315" ht="12.75" customHeight="1" s="55">
      <c r="B315" s="77" t="n"/>
      <c r="C315" s="77" t="n"/>
    </row>
    <row r="316" ht="12.75" customHeight="1" s="55">
      <c r="B316" s="77" t="n"/>
      <c r="C316" s="77" t="n"/>
    </row>
    <row r="317" ht="12.75" customHeight="1" s="55">
      <c r="B317" s="77" t="n"/>
      <c r="C317" s="77" t="n"/>
    </row>
    <row r="318" ht="12.75" customHeight="1" s="55">
      <c r="B318" s="77" t="n"/>
      <c r="C318" s="77" t="n"/>
    </row>
    <row r="319" ht="12.75" customHeight="1" s="55">
      <c r="B319" s="77" t="n"/>
      <c r="C319" s="77" t="n"/>
    </row>
    <row r="320" ht="12.75" customHeight="1" s="55">
      <c r="B320" s="77" t="n"/>
      <c r="C320" s="77" t="n"/>
    </row>
    <row r="321" ht="12.75" customHeight="1" s="55">
      <c r="B321" s="77" t="n"/>
      <c r="C321" s="77" t="n"/>
    </row>
    <row r="322" ht="12.75" customHeight="1" s="55">
      <c r="B322" s="77" t="n"/>
      <c r="C322" s="77" t="n"/>
    </row>
    <row r="323" ht="12.75" customHeight="1" s="55">
      <c r="B323" s="77" t="n"/>
      <c r="C323" s="77" t="n"/>
    </row>
    <row r="324" ht="12.75" customHeight="1" s="55">
      <c r="B324" s="77" t="n"/>
      <c r="C324" s="77" t="n"/>
    </row>
    <row r="325" ht="12.75" customHeight="1" s="55">
      <c r="B325" s="77" t="n"/>
      <c r="C325" s="77" t="n"/>
    </row>
    <row r="326" ht="12.75" customHeight="1" s="55">
      <c r="B326" s="77" t="n"/>
      <c r="C326" s="77" t="n"/>
    </row>
    <row r="327" ht="12.75" customHeight="1" s="55">
      <c r="B327" s="77" t="n"/>
      <c r="C327" s="77" t="n"/>
    </row>
    <row r="328" ht="12.75" customHeight="1" s="55">
      <c r="B328" s="77" t="n"/>
      <c r="C328" s="77" t="n"/>
    </row>
    <row r="329" ht="12.75" customHeight="1" s="55">
      <c r="B329" s="77" t="n"/>
      <c r="C329" s="77" t="n"/>
    </row>
    <row r="330" ht="12.75" customHeight="1" s="55">
      <c r="B330" s="77" t="n"/>
      <c r="C330" s="77" t="n"/>
    </row>
    <row r="331" ht="12.75" customHeight="1" s="55">
      <c r="B331" s="77" t="n"/>
      <c r="C331" s="77" t="n"/>
    </row>
    <row r="332" ht="12.75" customHeight="1" s="55">
      <c r="B332" s="77" t="n"/>
      <c r="C332" s="77" t="n"/>
    </row>
    <row r="333" ht="12.75" customHeight="1" s="55">
      <c r="B333" s="77" t="n"/>
      <c r="C333" s="77" t="n"/>
    </row>
    <row r="334" ht="12.75" customHeight="1" s="55">
      <c r="B334" s="77" t="n"/>
      <c r="C334" s="77" t="n"/>
    </row>
    <row r="335" ht="12.75" customHeight="1" s="55">
      <c r="B335" s="77" t="n"/>
      <c r="C335" s="77" t="n"/>
    </row>
    <row r="336" ht="12.75" customHeight="1" s="55">
      <c r="B336" s="77" t="n"/>
      <c r="C336" s="77" t="n"/>
    </row>
    <row r="337" ht="12.75" customHeight="1" s="55">
      <c r="B337" s="77" t="n"/>
      <c r="C337" s="77" t="n"/>
    </row>
    <row r="338" ht="12.75" customHeight="1" s="55">
      <c r="B338" s="77" t="n"/>
      <c r="C338" s="77" t="n"/>
    </row>
    <row r="339" ht="12.75" customHeight="1" s="55">
      <c r="B339" s="77" t="n"/>
      <c r="C339" s="77" t="n"/>
    </row>
    <row r="340" ht="12.75" customHeight="1" s="55">
      <c r="B340" s="77" t="n"/>
      <c r="C340" s="77" t="n"/>
    </row>
    <row r="341" ht="12.75" customHeight="1" s="55">
      <c r="B341" s="77" t="n"/>
      <c r="C341" s="77" t="n"/>
    </row>
    <row r="342" ht="12.75" customHeight="1" s="55">
      <c r="B342" s="77" t="n"/>
      <c r="C342" s="77" t="n"/>
    </row>
    <row r="343" ht="12.75" customHeight="1" s="55">
      <c r="B343" s="77" t="n"/>
      <c r="C343" s="77" t="n"/>
    </row>
    <row r="344" ht="12.75" customHeight="1" s="55">
      <c r="B344" s="77" t="n"/>
      <c r="C344" s="77" t="n"/>
    </row>
    <row r="345" ht="12.75" customHeight="1" s="55">
      <c r="B345" s="77" t="n"/>
      <c r="C345" s="77" t="n"/>
    </row>
    <row r="346" ht="12.75" customHeight="1" s="55">
      <c r="B346" s="77" t="n"/>
      <c r="C346" s="77" t="n"/>
    </row>
    <row r="347" ht="12.75" customHeight="1" s="55">
      <c r="B347" s="77" t="n"/>
      <c r="C347" s="77" t="n"/>
    </row>
    <row r="348" ht="12.75" customHeight="1" s="55">
      <c r="B348" s="77" t="n"/>
      <c r="C348" s="77" t="n"/>
    </row>
    <row r="349" ht="12.75" customHeight="1" s="55">
      <c r="B349" s="77" t="n"/>
      <c r="C349" s="77" t="n"/>
    </row>
    <row r="350" ht="12.75" customHeight="1" s="55">
      <c r="B350" s="77" t="n"/>
      <c r="C350" s="77" t="n"/>
    </row>
    <row r="351" ht="12.75" customHeight="1" s="55">
      <c r="B351" s="77" t="n"/>
      <c r="C351" s="77" t="n"/>
    </row>
    <row r="352" ht="12.75" customHeight="1" s="55">
      <c r="B352" s="77" t="n"/>
      <c r="C352" s="77" t="n"/>
    </row>
    <row r="353" ht="12.75" customHeight="1" s="55">
      <c r="B353" s="77" t="n"/>
      <c r="C353" s="77" t="n"/>
    </row>
    <row r="354" ht="12.75" customHeight="1" s="55">
      <c r="B354" s="77" t="n"/>
      <c r="C354" s="77" t="n"/>
    </row>
    <row r="355" ht="12.75" customHeight="1" s="55">
      <c r="B355" s="77" t="n"/>
      <c r="C355" s="77" t="n"/>
    </row>
    <row r="356" ht="12.75" customHeight="1" s="55">
      <c r="B356" s="77" t="n"/>
      <c r="C356" s="77" t="n"/>
    </row>
    <row r="357" ht="12.75" customHeight="1" s="55">
      <c r="B357" s="77" t="n"/>
      <c r="C357" s="77" t="n"/>
    </row>
    <row r="358" ht="12.75" customHeight="1" s="55">
      <c r="B358" s="77" t="n"/>
      <c r="C358" s="77" t="n"/>
    </row>
    <row r="359" ht="12.75" customHeight="1" s="55">
      <c r="B359" s="77" t="n"/>
      <c r="C359" s="77" t="n"/>
    </row>
    <row r="360" ht="12.75" customHeight="1" s="55">
      <c r="B360" s="77" t="n"/>
      <c r="C360" s="77" t="n"/>
    </row>
    <row r="361" ht="12.75" customHeight="1" s="55">
      <c r="B361" s="77" t="n"/>
      <c r="C361" s="77" t="n"/>
    </row>
    <row r="362" ht="12.75" customHeight="1" s="55">
      <c r="B362" s="77" t="n"/>
      <c r="C362" s="77" t="n"/>
    </row>
    <row r="363" ht="12.75" customHeight="1" s="55">
      <c r="B363" s="77" t="n"/>
      <c r="C363" s="77" t="n"/>
    </row>
    <row r="364" ht="12.75" customHeight="1" s="55">
      <c r="B364" s="77" t="n"/>
      <c r="C364" s="77" t="n"/>
    </row>
    <row r="365" ht="12.75" customHeight="1" s="55">
      <c r="B365" s="77" t="n"/>
      <c r="C365" s="77" t="n"/>
    </row>
    <row r="366" ht="12.75" customHeight="1" s="55">
      <c r="B366" s="77" t="n"/>
      <c r="C366" s="77" t="n"/>
    </row>
    <row r="367" ht="12.75" customHeight="1" s="55">
      <c r="B367" s="77" t="n"/>
      <c r="C367" s="77" t="n"/>
    </row>
    <row r="368" ht="12.75" customHeight="1" s="55">
      <c r="B368" s="77" t="n"/>
      <c r="C368" s="77" t="n"/>
    </row>
    <row r="369" ht="12.75" customHeight="1" s="55">
      <c r="B369" s="77" t="n"/>
      <c r="C369" s="77" t="n"/>
    </row>
    <row r="370" ht="12.75" customHeight="1" s="55">
      <c r="B370" s="77" t="n"/>
      <c r="C370" s="77" t="n"/>
    </row>
    <row r="371" ht="12.75" customHeight="1" s="55">
      <c r="B371" s="77" t="n"/>
      <c r="C371" s="77" t="n"/>
    </row>
    <row r="372" ht="12.75" customHeight="1" s="55">
      <c r="B372" s="77" t="n"/>
      <c r="C372" s="77" t="n"/>
    </row>
    <row r="373" ht="12.75" customHeight="1" s="55">
      <c r="B373" s="77" t="n"/>
      <c r="C373" s="77" t="n"/>
    </row>
    <row r="374" ht="12.75" customHeight="1" s="55">
      <c r="B374" s="77" t="n"/>
      <c r="C374" s="77" t="n"/>
    </row>
    <row r="375" ht="12.75" customHeight="1" s="55">
      <c r="B375" s="77" t="n"/>
      <c r="C375" s="77" t="n"/>
    </row>
    <row r="376" ht="12.75" customHeight="1" s="55">
      <c r="B376" s="77" t="n"/>
      <c r="C376" s="77" t="n"/>
    </row>
    <row r="377" ht="12.75" customHeight="1" s="55">
      <c r="B377" s="77" t="n"/>
      <c r="C377" s="77" t="n"/>
    </row>
    <row r="378" ht="12.75" customHeight="1" s="55">
      <c r="B378" s="77" t="n"/>
      <c r="C378" s="77" t="n"/>
    </row>
    <row r="379" ht="12.75" customHeight="1" s="55">
      <c r="B379" s="77" t="n"/>
      <c r="C379" s="77" t="n"/>
    </row>
    <row r="380" ht="12.75" customHeight="1" s="55">
      <c r="B380" s="77" t="n"/>
      <c r="C380" s="77" t="n"/>
    </row>
    <row r="381" ht="12.75" customHeight="1" s="55">
      <c r="B381" s="77" t="n"/>
      <c r="C381" s="77" t="n"/>
    </row>
    <row r="382" ht="12.75" customHeight="1" s="55">
      <c r="B382" s="77" t="n"/>
      <c r="C382" s="77" t="n"/>
    </row>
    <row r="383" ht="12.75" customHeight="1" s="55">
      <c r="B383" s="77" t="n"/>
      <c r="C383" s="77" t="n"/>
    </row>
    <row r="384" ht="12.75" customHeight="1" s="55">
      <c r="B384" s="77" t="n"/>
      <c r="C384" s="77" t="n"/>
    </row>
    <row r="385" ht="12.75" customHeight="1" s="55">
      <c r="B385" s="77" t="n"/>
      <c r="C385" s="77" t="n"/>
    </row>
    <row r="386" ht="12.75" customHeight="1" s="55">
      <c r="B386" s="77" t="n"/>
      <c r="C386" s="77" t="n"/>
    </row>
    <row r="387" ht="12.75" customHeight="1" s="55">
      <c r="B387" s="77" t="n"/>
      <c r="C387" s="77" t="n"/>
    </row>
    <row r="388" ht="12.75" customHeight="1" s="55">
      <c r="B388" s="77" t="n"/>
      <c r="C388" s="77" t="n"/>
    </row>
    <row r="389" ht="12.75" customHeight="1" s="55">
      <c r="B389" s="77" t="n"/>
      <c r="C389" s="77" t="n"/>
    </row>
    <row r="390" ht="12.75" customHeight="1" s="55">
      <c r="B390" s="77" t="n"/>
      <c r="C390" s="77" t="n"/>
    </row>
    <row r="391" ht="12.75" customHeight="1" s="55">
      <c r="B391" s="77" t="n"/>
      <c r="C391" s="77" t="n"/>
    </row>
    <row r="392" ht="12.75" customHeight="1" s="55">
      <c r="B392" s="77" t="n"/>
      <c r="C392" s="77" t="n"/>
    </row>
    <row r="393" ht="12.75" customHeight="1" s="55">
      <c r="B393" s="77" t="n"/>
      <c r="C393" s="77" t="n"/>
    </row>
    <row r="394" ht="12.75" customHeight="1" s="55">
      <c r="B394" s="77" t="n"/>
      <c r="C394" s="77" t="n"/>
    </row>
    <row r="395" ht="12.75" customHeight="1" s="55">
      <c r="B395" s="77" t="n"/>
      <c r="C395" s="77" t="n"/>
    </row>
    <row r="396" ht="12.75" customHeight="1" s="55">
      <c r="B396" s="77" t="n"/>
      <c r="C396" s="77" t="n"/>
    </row>
    <row r="397" ht="12.75" customHeight="1" s="55">
      <c r="B397" s="77" t="n"/>
      <c r="C397" s="77" t="n"/>
    </row>
    <row r="398" ht="12.75" customHeight="1" s="55">
      <c r="B398" s="77" t="n"/>
      <c r="C398" s="77" t="n"/>
    </row>
    <row r="399" ht="12.75" customHeight="1" s="55">
      <c r="B399" s="77" t="n"/>
      <c r="C399" s="77" t="n"/>
    </row>
    <row r="400" ht="12.75" customHeight="1" s="55">
      <c r="B400" s="77" t="n"/>
      <c r="C400" s="77" t="n"/>
    </row>
    <row r="401" ht="12.75" customHeight="1" s="55">
      <c r="B401" s="77" t="n"/>
      <c r="C401" s="77" t="n"/>
    </row>
    <row r="402" ht="12.75" customHeight="1" s="55">
      <c r="B402" s="77" t="n"/>
      <c r="C402" s="77" t="n"/>
    </row>
    <row r="403" ht="12.75" customHeight="1" s="55">
      <c r="B403" s="77" t="n"/>
      <c r="C403" s="77" t="n"/>
    </row>
    <row r="404" ht="12.75" customHeight="1" s="55">
      <c r="B404" s="77" t="n"/>
      <c r="C404" s="77" t="n"/>
    </row>
    <row r="405" ht="12.75" customHeight="1" s="55">
      <c r="B405" s="77" t="n"/>
      <c r="C405" s="77" t="n"/>
    </row>
    <row r="406" ht="12.75" customHeight="1" s="55">
      <c r="B406" s="77" t="n"/>
      <c r="C406" s="77" t="n"/>
    </row>
    <row r="407" ht="12.75" customHeight="1" s="55">
      <c r="B407" s="77" t="n"/>
      <c r="C407" s="77" t="n"/>
    </row>
    <row r="408" ht="12.75" customHeight="1" s="55">
      <c r="B408" s="77" t="n"/>
      <c r="C408" s="77" t="n"/>
    </row>
    <row r="409" ht="12.75" customHeight="1" s="55">
      <c r="B409" s="77" t="n"/>
      <c r="C409" s="77" t="n"/>
    </row>
    <row r="410" ht="12.75" customHeight="1" s="55">
      <c r="B410" s="77" t="n"/>
      <c r="C410" s="77" t="n"/>
    </row>
    <row r="411" ht="12.75" customHeight="1" s="55">
      <c r="B411" s="77" t="n"/>
      <c r="C411" s="77" t="n"/>
    </row>
    <row r="412" ht="12.75" customHeight="1" s="55">
      <c r="B412" s="77" t="n"/>
      <c r="C412" s="77" t="n"/>
    </row>
    <row r="413" ht="12.75" customHeight="1" s="55">
      <c r="B413" s="77" t="n"/>
      <c r="C413" s="77" t="n"/>
    </row>
    <row r="414" ht="12.75" customHeight="1" s="55">
      <c r="B414" s="77" t="n"/>
      <c r="C414" s="77" t="n"/>
    </row>
    <row r="415" ht="12.75" customHeight="1" s="55">
      <c r="B415" s="77" t="n"/>
      <c r="C415" s="77" t="n"/>
    </row>
    <row r="416" ht="12.75" customHeight="1" s="55">
      <c r="B416" s="77" t="n"/>
      <c r="C416" s="77" t="n"/>
    </row>
    <row r="417" ht="12.75" customHeight="1" s="55">
      <c r="B417" s="77" t="n"/>
      <c r="C417" s="77" t="n"/>
    </row>
    <row r="418" ht="12.75" customHeight="1" s="55">
      <c r="B418" s="77" t="n"/>
      <c r="C418" s="77" t="n"/>
    </row>
    <row r="419" ht="12.75" customHeight="1" s="55">
      <c r="B419" s="77" t="n"/>
      <c r="C419" s="77" t="n"/>
    </row>
    <row r="420" ht="12.75" customHeight="1" s="55">
      <c r="B420" s="77" t="n"/>
      <c r="C420" s="77" t="n"/>
    </row>
    <row r="421" ht="12.75" customHeight="1" s="55">
      <c r="B421" s="77" t="n"/>
      <c r="C421" s="77" t="n"/>
    </row>
    <row r="422" ht="12.75" customHeight="1" s="55">
      <c r="B422" s="77" t="n"/>
      <c r="C422" s="77" t="n"/>
    </row>
    <row r="423" ht="12.75" customHeight="1" s="55">
      <c r="B423" s="77" t="n"/>
      <c r="C423" s="77" t="n"/>
    </row>
    <row r="424" ht="12.75" customHeight="1" s="55">
      <c r="B424" s="77" t="n"/>
      <c r="C424" s="77" t="n"/>
    </row>
    <row r="425" ht="12.75" customHeight="1" s="55">
      <c r="B425" s="77" t="n"/>
      <c r="C425" s="77" t="n"/>
    </row>
    <row r="426" ht="12.75" customHeight="1" s="55">
      <c r="B426" s="77" t="n"/>
      <c r="C426" s="77" t="n"/>
    </row>
    <row r="427" ht="12.75" customHeight="1" s="55">
      <c r="B427" s="77" t="n"/>
      <c r="C427" s="77" t="n"/>
    </row>
    <row r="428" ht="12.75" customHeight="1" s="55">
      <c r="B428" s="77" t="n"/>
      <c r="C428" s="77" t="n"/>
    </row>
    <row r="429" ht="12.75" customHeight="1" s="55">
      <c r="B429" s="77" t="n"/>
      <c r="C429" s="77" t="n"/>
    </row>
    <row r="430" ht="12.75" customHeight="1" s="55">
      <c r="B430" s="77" t="n"/>
      <c r="C430" s="77" t="n"/>
    </row>
    <row r="431" ht="12.75" customHeight="1" s="55">
      <c r="B431" s="77" t="n"/>
      <c r="C431" s="77" t="n"/>
    </row>
    <row r="432" ht="12.75" customHeight="1" s="55">
      <c r="B432" s="77" t="n"/>
      <c r="C432" s="77" t="n"/>
    </row>
    <row r="433" ht="12.75" customHeight="1" s="55">
      <c r="B433" s="77" t="n"/>
      <c r="C433" s="77" t="n"/>
    </row>
    <row r="434" ht="12.75" customHeight="1" s="55">
      <c r="B434" s="77" t="n"/>
      <c r="C434" s="77" t="n"/>
    </row>
    <row r="435" ht="12.75" customHeight="1" s="55">
      <c r="B435" s="77" t="n"/>
      <c r="C435" s="77" t="n"/>
    </row>
    <row r="436" ht="12.75" customHeight="1" s="55">
      <c r="B436" s="77" t="n"/>
      <c r="C436" s="77" t="n"/>
    </row>
    <row r="437" ht="12.75" customHeight="1" s="55">
      <c r="B437" s="77" t="n"/>
      <c r="C437" s="77" t="n"/>
    </row>
    <row r="438" ht="12.75" customHeight="1" s="55">
      <c r="B438" s="77" t="n"/>
      <c r="C438" s="77" t="n"/>
    </row>
    <row r="439" ht="12.75" customHeight="1" s="55">
      <c r="B439" s="77" t="n"/>
      <c r="C439" s="77" t="n"/>
    </row>
    <row r="440" ht="12.75" customHeight="1" s="55">
      <c r="B440" s="77" t="n"/>
      <c r="C440" s="77" t="n"/>
    </row>
    <row r="441" ht="12.75" customHeight="1" s="55">
      <c r="B441" s="77" t="n"/>
      <c r="C441" s="77" t="n"/>
    </row>
    <row r="442" ht="12.75" customHeight="1" s="55">
      <c r="B442" s="77" t="n"/>
      <c r="C442" s="77" t="n"/>
    </row>
    <row r="443" ht="12.75" customHeight="1" s="55">
      <c r="B443" s="77" t="n"/>
      <c r="C443" s="77" t="n"/>
    </row>
    <row r="444" ht="12.75" customHeight="1" s="55">
      <c r="B444" s="77" t="n"/>
      <c r="C444" s="77" t="n"/>
    </row>
    <row r="445" ht="12.75" customHeight="1" s="55">
      <c r="B445" s="77" t="n"/>
      <c r="C445" s="77" t="n"/>
    </row>
    <row r="446" ht="12.75" customHeight="1" s="55">
      <c r="B446" s="77" t="n"/>
      <c r="C446" s="77" t="n"/>
    </row>
    <row r="447" ht="12.75" customHeight="1" s="55">
      <c r="B447" s="77" t="n"/>
      <c r="C447" s="77" t="n"/>
    </row>
    <row r="448" ht="12.75" customHeight="1" s="55">
      <c r="B448" s="77" t="n"/>
      <c r="C448" s="77" t="n"/>
    </row>
    <row r="449" ht="12.75" customHeight="1" s="55">
      <c r="B449" s="77" t="n"/>
      <c r="C449" s="77" t="n"/>
    </row>
    <row r="450" ht="12.75" customHeight="1" s="55">
      <c r="B450" s="77" t="n"/>
      <c r="C450" s="77" t="n"/>
    </row>
    <row r="451" ht="12.75" customHeight="1" s="55">
      <c r="B451" s="77" t="n"/>
      <c r="C451" s="77" t="n"/>
    </row>
    <row r="452" ht="12.75" customHeight="1" s="55">
      <c r="B452" s="77" t="n"/>
      <c r="C452" s="77" t="n"/>
    </row>
    <row r="453" ht="12.75" customHeight="1" s="55">
      <c r="B453" s="77" t="n"/>
      <c r="C453" s="77" t="n"/>
    </row>
    <row r="454" ht="12.75" customHeight="1" s="55">
      <c r="B454" s="77" t="n"/>
      <c r="C454" s="77" t="n"/>
    </row>
    <row r="455" ht="12.75" customHeight="1" s="55">
      <c r="B455" s="77" t="n"/>
      <c r="C455" s="77" t="n"/>
    </row>
    <row r="456" ht="12.75" customHeight="1" s="55">
      <c r="B456" s="77" t="n"/>
      <c r="C456" s="77" t="n"/>
    </row>
    <row r="457" ht="12.75" customHeight="1" s="55">
      <c r="B457" s="77" t="n"/>
      <c r="C457" s="77" t="n"/>
    </row>
    <row r="458" ht="12.75" customHeight="1" s="55">
      <c r="B458" s="77" t="n"/>
      <c r="C458" s="77" t="n"/>
    </row>
    <row r="459" ht="12.75" customHeight="1" s="55">
      <c r="B459" s="77" t="n"/>
      <c r="C459" s="77" t="n"/>
    </row>
    <row r="460" ht="12.75" customHeight="1" s="55">
      <c r="B460" s="77" t="n"/>
      <c r="C460" s="77" t="n"/>
    </row>
    <row r="461" ht="12.75" customHeight="1" s="55">
      <c r="B461" s="77" t="n"/>
      <c r="C461" s="77" t="n"/>
    </row>
    <row r="462" ht="12.75" customHeight="1" s="55">
      <c r="B462" s="77" t="n"/>
      <c r="C462" s="77" t="n"/>
    </row>
    <row r="463" ht="12.75" customHeight="1" s="55">
      <c r="B463" s="77" t="n"/>
      <c r="C463" s="77" t="n"/>
    </row>
    <row r="464" ht="12.75" customHeight="1" s="55">
      <c r="B464" s="77" t="n"/>
      <c r="C464" s="77" t="n"/>
    </row>
    <row r="465" ht="12.75" customHeight="1" s="55">
      <c r="B465" s="77" t="n"/>
      <c r="C465" s="77" t="n"/>
    </row>
    <row r="466" ht="12.75" customHeight="1" s="55">
      <c r="B466" s="77" t="n"/>
      <c r="C466" s="77" t="n"/>
    </row>
    <row r="467" ht="12.75" customHeight="1" s="55">
      <c r="B467" s="77" t="n"/>
      <c r="C467" s="77" t="n"/>
    </row>
    <row r="468" ht="12.75" customHeight="1" s="55">
      <c r="B468" s="77" t="n"/>
      <c r="C468" s="77" t="n"/>
    </row>
    <row r="469" ht="12.75" customHeight="1" s="55">
      <c r="B469" s="77" t="n"/>
      <c r="C469" s="77" t="n"/>
    </row>
    <row r="470" ht="12.75" customHeight="1" s="55">
      <c r="B470" s="77" t="n"/>
      <c r="C470" s="77" t="n"/>
    </row>
    <row r="471" ht="12.75" customHeight="1" s="55">
      <c r="B471" s="77" t="n"/>
      <c r="C471" s="77" t="n"/>
    </row>
    <row r="472" ht="12.75" customHeight="1" s="55">
      <c r="B472" s="77" t="n"/>
      <c r="C472" s="77" t="n"/>
    </row>
    <row r="473" ht="12.75" customHeight="1" s="55">
      <c r="B473" s="77" t="n"/>
      <c r="C473" s="77" t="n"/>
    </row>
    <row r="474" ht="12.75" customHeight="1" s="55">
      <c r="B474" s="77" t="n"/>
      <c r="C474" s="77" t="n"/>
    </row>
    <row r="475" ht="12.75" customHeight="1" s="55">
      <c r="B475" s="77" t="n"/>
      <c r="C475" s="77" t="n"/>
    </row>
    <row r="476" ht="12.75" customHeight="1" s="55">
      <c r="B476" s="77" t="n"/>
      <c r="C476" s="77" t="n"/>
    </row>
    <row r="477" ht="12.75" customHeight="1" s="55">
      <c r="B477" s="77" t="n"/>
      <c r="C477" s="77" t="n"/>
    </row>
    <row r="478" ht="12.75" customHeight="1" s="55">
      <c r="B478" s="77" t="n"/>
      <c r="C478" s="77" t="n"/>
    </row>
    <row r="479" ht="12.75" customHeight="1" s="55">
      <c r="B479" s="77" t="n"/>
      <c r="C479" s="77" t="n"/>
    </row>
    <row r="480" ht="12.75" customHeight="1" s="55">
      <c r="B480" s="77" t="n"/>
      <c r="C480" s="77" t="n"/>
    </row>
    <row r="481" ht="12.75" customHeight="1" s="55">
      <c r="B481" s="77" t="n"/>
      <c r="C481" s="77" t="n"/>
    </row>
    <row r="482" ht="12.75" customHeight="1" s="55">
      <c r="B482" s="77" t="n"/>
      <c r="C482" s="77" t="n"/>
    </row>
    <row r="483" ht="12.75" customHeight="1" s="55">
      <c r="B483" s="77" t="n"/>
      <c r="C483" s="77" t="n"/>
    </row>
    <row r="484" ht="12.75" customHeight="1" s="55">
      <c r="B484" s="77" t="n"/>
      <c r="C484" s="77" t="n"/>
    </row>
    <row r="485" ht="12.75" customHeight="1" s="55">
      <c r="B485" s="77" t="n"/>
      <c r="C485" s="77" t="n"/>
    </row>
    <row r="486" ht="12.75" customHeight="1" s="55">
      <c r="B486" s="77" t="n"/>
      <c r="C486" s="77" t="n"/>
    </row>
    <row r="487" ht="12.75" customHeight="1" s="55">
      <c r="B487" s="77" t="n"/>
      <c r="C487" s="77" t="n"/>
    </row>
    <row r="488" ht="12.75" customHeight="1" s="55">
      <c r="B488" s="77" t="n"/>
      <c r="C488" s="77" t="n"/>
    </row>
    <row r="489" ht="12.75" customHeight="1" s="55">
      <c r="B489" s="77" t="n"/>
      <c r="C489" s="77" t="n"/>
    </row>
    <row r="490" ht="12.75" customHeight="1" s="55">
      <c r="B490" s="77" t="n"/>
      <c r="C490" s="77" t="n"/>
    </row>
    <row r="491" ht="12.75" customHeight="1" s="55">
      <c r="B491" s="77" t="n"/>
      <c r="C491" s="77" t="n"/>
    </row>
    <row r="492" ht="12.75" customHeight="1" s="55">
      <c r="B492" s="77" t="n"/>
      <c r="C492" s="77" t="n"/>
    </row>
    <row r="493" ht="12.75" customHeight="1" s="55">
      <c r="B493" s="77" t="n"/>
      <c r="C493" s="77" t="n"/>
    </row>
    <row r="494" ht="12.75" customHeight="1" s="55">
      <c r="B494" s="77" t="n"/>
      <c r="C494" s="77" t="n"/>
    </row>
    <row r="495" ht="12.75" customHeight="1" s="55">
      <c r="B495" s="77" t="n"/>
      <c r="C495" s="77" t="n"/>
    </row>
    <row r="496" ht="12.75" customHeight="1" s="55">
      <c r="B496" s="77" t="n"/>
      <c r="C496" s="77" t="n"/>
    </row>
    <row r="497" ht="12.75" customHeight="1" s="55">
      <c r="B497" s="77" t="n"/>
      <c r="C497" s="77" t="n"/>
    </row>
    <row r="498" ht="12.75" customHeight="1" s="55">
      <c r="B498" s="77" t="n"/>
      <c r="C498" s="77" t="n"/>
    </row>
    <row r="499" ht="12.75" customHeight="1" s="55">
      <c r="B499" s="77" t="n"/>
      <c r="C499" s="77" t="n"/>
    </row>
    <row r="500" ht="12.75" customHeight="1" s="55">
      <c r="B500" s="77" t="n"/>
      <c r="C500" s="77" t="n"/>
    </row>
    <row r="501" ht="12.75" customHeight="1" s="55">
      <c r="B501" s="77" t="n"/>
      <c r="C501" s="77" t="n"/>
    </row>
    <row r="502" ht="12.75" customHeight="1" s="55">
      <c r="B502" s="77" t="n"/>
      <c r="C502" s="77" t="n"/>
    </row>
    <row r="503" ht="12.75" customHeight="1" s="55">
      <c r="B503" s="77" t="n"/>
      <c r="C503" s="77" t="n"/>
    </row>
    <row r="504" ht="12.75" customHeight="1" s="55">
      <c r="B504" s="77" t="n"/>
      <c r="C504" s="77" t="n"/>
    </row>
    <row r="505" ht="12.75" customHeight="1" s="55">
      <c r="B505" s="77" t="n"/>
      <c r="C505" s="77" t="n"/>
    </row>
    <row r="506" ht="12.75" customHeight="1" s="55">
      <c r="B506" s="77" t="n"/>
      <c r="C506" s="77" t="n"/>
    </row>
    <row r="507" ht="12.75" customHeight="1" s="55">
      <c r="B507" s="77" t="n"/>
      <c r="C507" s="77" t="n"/>
    </row>
    <row r="508" ht="12.75" customHeight="1" s="55">
      <c r="B508" s="77" t="n"/>
      <c r="C508" s="77" t="n"/>
    </row>
    <row r="509" ht="12.75" customHeight="1" s="55">
      <c r="B509" s="77" t="n"/>
      <c r="C509" s="77" t="n"/>
    </row>
    <row r="510" ht="12.75" customHeight="1" s="55">
      <c r="B510" s="77" t="n"/>
      <c r="C510" s="77" t="n"/>
    </row>
    <row r="511" ht="12.75" customHeight="1" s="55">
      <c r="B511" s="77" t="n"/>
      <c r="C511" s="77" t="n"/>
    </row>
    <row r="512" ht="12.75" customHeight="1" s="55">
      <c r="B512" s="77" t="n"/>
      <c r="C512" s="77" t="n"/>
    </row>
    <row r="513" ht="12.75" customHeight="1" s="55">
      <c r="B513" s="77" t="n"/>
      <c r="C513" s="77" t="n"/>
    </row>
    <row r="514" ht="12.75" customHeight="1" s="55">
      <c r="B514" s="77" t="n"/>
      <c r="C514" s="77" t="n"/>
    </row>
    <row r="515" ht="12.75" customHeight="1" s="55">
      <c r="B515" s="77" t="n"/>
      <c r="C515" s="77" t="n"/>
    </row>
    <row r="516" ht="12.75" customHeight="1" s="55">
      <c r="B516" s="77" t="n"/>
      <c r="C516" s="77" t="n"/>
    </row>
    <row r="517" ht="12.75" customHeight="1" s="55">
      <c r="B517" s="77" t="n"/>
      <c r="C517" s="77" t="n"/>
    </row>
    <row r="518" ht="12.75" customHeight="1" s="55">
      <c r="B518" s="77" t="n"/>
      <c r="C518" s="77" t="n"/>
    </row>
    <row r="519" ht="12.75" customHeight="1" s="55">
      <c r="B519" s="77" t="n"/>
      <c r="C519" s="77" t="n"/>
    </row>
    <row r="520" ht="12.75" customHeight="1" s="55">
      <c r="B520" s="77" t="n"/>
      <c r="C520" s="77" t="n"/>
    </row>
    <row r="521" ht="12.75" customHeight="1" s="55">
      <c r="B521" s="77" t="n"/>
      <c r="C521" s="77" t="n"/>
    </row>
    <row r="522" ht="12.75" customHeight="1" s="55">
      <c r="B522" s="77" t="n"/>
      <c r="C522" s="77" t="n"/>
    </row>
    <row r="523" ht="12.75" customHeight="1" s="55">
      <c r="B523" s="77" t="n"/>
      <c r="C523" s="77" t="n"/>
    </row>
    <row r="524" ht="12.75" customHeight="1" s="55">
      <c r="B524" s="77" t="n"/>
      <c r="C524" s="77" t="n"/>
    </row>
    <row r="525" ht="12.75" customHeight="1" s="55">
      <c r="B525" s="77" t="n"/>
      <c r="C525" s="77" t="n"/>
    </row>
    <row r="526" ht="12.75" customHeight="1" s="55">
      <c r="B526" s="77" t="n"/>
      <c r="C526" s="77" t="n"/>
    </row>
    <row r="527" ht="12.75" customHeight="1" s="55">
      <c r="B527" s="77" t="n"/>
      <c r="C527" s="77" t="n"/>
    </row>
    <row r="528" ht="12.75" customHeight="1" s="55">
      <c r="B528" s="77" t="n"/>
      <c r="C528" s="77" t="n"/>
    </row>
    <row r="529" ht="12.75" customHeight="1" s="55">
      <c r="B529" s="77" t="n"/>
      <c r="C529" s="77" t="n"/>
    </row>
    <row r="530" ht="12.75" customHeight="1" s="55">
      <c r="B530" s="77" t="n"/>
      <c r="C530" s="77" t="n"/>
    </row>
    <row r="531" ht="12.75" customHeight="1" s="55">
      <c r="B531" s="77" t="n"/>
      <c r="C531" s="77" t="n"/>
    </row>
    <row r="532" ht="12.75" customHeight="1" s="55">
      <c r="B532" s="77" t="n"/>
      <c r="C532" s="77" t="n"/>
    </row>
    <row r="533" ht="12.75" customHeight="1" s="55">
      <c r="B533" s="77" t="n"/>
      <c r="C533" s="77" t="n"/>
    </row>
    <row r="534" ht="12.75" customHeight="1" s="55">
      <c r="B534" s="77" t="n"/>
      <c r="C534" s="77" t="n"/>
    </row>
    <row r="535" ht="12.75" customHeight="1" s="55">
      <c r="B535" s="77" t="n"/>
      <c r="C535" s="77" t="n"/>
    </row>
    <row r="536" ht="12.75" customHeight="1" s="55">
      <c r="B536" s="77" t="n"/>
      <c r="C536" s="77" t="n"/>
    </row>
    <row r="537" ht="12.75" customHeight="1" s="55">
      <c r="B537" s="77" t="n"/>
      <c r="C537" s="77" t="n"/>
    </row>
    <row r="538" ht="12.75" customHeight="1" s="55">
      <c r="B538" s="77" t="n"/>
      <c r="C538" s="77" t="n"/>
    </row>
    <row r="539" ht="12.75" customHeight="1" s="55">
      <c r="B539" s="77" t="n"/>
      <c r="C539" s="77" t="n"/>
    </row>
    <row r="540" ht="12.75" customHeight="1" s="55">
      <c r="B540" s="77" t="n"/>
      <c r="C540" s="77" t="n"/>
    </row>
    <row r="541" ht="12.75" customHeight="1" s="55">
      <c r="B541" s="77" t="n"/>
      <c r="C541" s="77" t="n"/>
    </row>
    <row r="542" ht="12.75" customHeight="1" s="55">
      <c r="B542" s="77" t="n"/>
      <c r="C542" s="77" t="n"/>
    </row>
    <row r="543" ht="12.75" customHeight="1" s="55">
      <c r="B543" s="77" t="n"/>
      <c r="C543" s="77" t="n"/>
    </row>
    <row r="544" ht="12.75" customHeight="1" s="55">
      <c r="B544" s="77" t="n"/>
      <c r="C544" s="77" t="n"/>
    </row>
    <row r="545" ht="12.75" customHeight="1" s="55">
      <c r="B545" s="77" t="n"/>
      <c r="C545" s="77" t="n"/>
    </row>
    <row r="546" ht="12.75" customHeight="1" s="55">
      <c r="B546" s="77" t="n"/>
      <c r="C546" s="77" t="n"/>
    </row>
    <row r="547" ht="12.75" customHeight="1" s="55">
      <c r="B547" s="77" t="n"/>
      <c r="C547" s="77" t="n"/>
    </row>
    <row r="548" ht="12.75" customHeight="1" s="55">
      <c r="B548" s="77" t="n"/>
      <c r="C548" s="77" t="n"/>
    </row>
    <row r="549" ht="12.75" customHeight="1" s="55">
      <c r="B549" s="77" t="n"/>
      <c r="C549" s="77" t="n"/>
    </row>
    <row r="550" ht="12.75" customHeight="1" s="55">
      <c r="B550" s="77" t="n"/>
      <c r="C550" s="77" t="n"/>
    </row>
    <row r="551" ht="12.75" customHeight="1" s="55">
      <c r="B551" s="77" t="n"/>
      <c r="C551" s="77" t="n"/>
    </row>
    <row r="552" ht="12.75" customHeight="1" s="55">
      <c r="B552" s="77" t="n"/>
      <c r="C552" s="77" t="n"/>
    </row>
    <row r="553" ht="12.75" customHeight="1" s="55">
      <c r="B553" s="77" t="n"/>
      <c r="C553" s="77" t="n"/>
    </row>
    <row r="554" ht="12.75" customHeight="1" s="55">
      <c r="B554" s="77" t="n"/>
      <c r="C554" s="77" t="n"/>
    </row>
    <row r="555" ht="12.75" customHeight="1" s="55">
      <c r="B555" s="77" t="n"/>
      <c r="C555" s="77" t="n"/>
    </row>
    <row r="556" ht="12.75" customHeight="1" s="55">
      <c r="B556" s="77" t="n"/>
      <c r="C556" s="77" t="n"/>
    </row>
    <row r="557" ht="12.75" customHeight="1" s="55">
      <c r="B557" s="77" t="n"/>
      <c r="C557" s="77" t="n"/>
    </row>
    <row r="558" ht="12.75" customHeight="1" s="55">
      <c r="B558" s="77" t="n"/>
      <c r="C558" s="77" t="n"/>
    </row>
    <row r="559" ht="12.75" customHeight="1" s="55">
      <c r="B559" s="77" t="n"/>
      <c r="C559" s="77" t="n"/>
    </row>
    <row r="560" ht="12.75" customHeight="1" s="55">
      <c r="B560" s="77" t="n"/>
      <c r="C560" s="77" t="n"/>
    </row>
    <row r="561" ht="12.75" customHeight="1" s="55">
      <c r="B561" s="77" t="n"/>
      <c r="C561" s="77" t="n"/>
    </row>
    <row r="562" ht="12.75" customHeight="1" s="55">
      <c r="B562" s="77" t="n"/>
      <c r="C562" s="77" t="n"/>
    </row>
    <row r="563" ht="12.75" customHeight="1" s="55">
      <c r="B563" s="77" t="n"/>
      <c r="C563" s="77" t="n"/>
    </row>
    <row r="564" ht="12.75" customHeight="1" s="55">
      <c r="B564" s="77" t="n"/>
      <c r="C564" s="77" t="n"/>
    </row>
    <row r="565" ht="12.75" customHeight="1" s="55">
      <c r="B565" s="77" t="n"/>
      <c r="C565" s="77" t="n"/>
    </row>
    <row r="566" ht="12.75" customHeight="1" s="55">
      <c r="B566" s="77" t="n"/>
      <c r="C566" s="77" t="n"/>
    </row>
    <row r="567" ht="12.75" customHeight="1" s="55">
      <c r="B567" s="77" t="n"/>
      <c r="C567" s="77" t="n"/>
    </row>
    <row r="568" ht="12.75" customHeight="1" s="55">
      <c r="B568" s="77" t="n"/>
      <c r="C568" s="77" t="n"/>
    </row>
    <row r="569" ht="12.75" customHeight="1" s="55">
      <c r="B569" s="77" t="n"/>
      <c r="C569" s="77" t="n"/>
    </row>
    <row r="570" ht="12.75" customHeight="1" s="55">
      <c r="B570" s="77" t="n"/>
      <c r="C570" s="77" t="n"/>
    </row>
    <row r="571" ht="12.75" customHeight="1" s="55">
      <c r="B571" s="77" t="n"/>
      <c r="C571" s="77" t="n"/>
    </row>
    <row r="572" ht="12.75" customHeight="1" s="55">
      <c r="B572" s="77" t="n"/>
      <c r="C572" s="77" t="n"/>
    </row>
    <row r="573" ht="12.75" customHeight="1" s="55">
      <c r="B573" s="77" t="n"/>
      <c r="C573" s="77" t="n"/>
    </row>
    <row r="574" ht="12.75" customHeight="1" s="55">
      <c r="B574" s="77" t="n"/>
      <c r="C574" s="77" t="n"/>
    </row>
    <row r="575" ht="12.75" customHeight="1" s="55">
      <c r="B575" s="77" t="n"/>
      <c r="C575" s="77" t="n"/>
    </row>
    <row r="576" ht="12.75" customHeight="1" s="55">
      <c r="B576" s="77" t="n"/>
      <c r="C576" s="77" t="n"/>
    </row>
    <row r="577" ht="12.75" customHeight="1" s="55">
      <c r="B577" s="77" t="n"/>
      <c r="C577" s="77" t="n"/>
    </row>
    <row r="578" ht="12.75" customHeight="1" s="55">
      <c r="B578" s="77" t="n"/>
      <c r="C578" s="77" t="n"/>
    </row>
    <row r="579" ht="12.75" customHeight="1" s="55">
      <c r="B579" s="77" t="n"/>
      <c r="C579" s="77" t="n"/>
    </row>
    <row r="580" ht="12.75" customHeight="1" s="55">
      <c r="B580" s="77" t="n"/>
      <c r="C580" s="77" t="n"/>
    </row>
    <row r="581" ht="12.75" customHeight="1" s="55">
      <c r="B581" s="77" t="n"/>
      <c r="C581" s="77" t="n"/>
    </row>
    <row r="582" ht="12.75" customHeight="1" s="55">
      <c r="B582" s="77" t="n"/>
      <c r="C582" s="77" t="n"/>
    </row>
    <row r="583" ht="12.75" customHeight="1" s="55">
      <c r="B583" s="77" t="n"/>
      <c r="C583" s="77" t="n"/>
    </row>
    <row r="584" ht="12.75" customHeight="1" s="55">
      <c r="B584" s="77" t="n"/>
      <c r="C584" s="77" t="n"/>
    </row>
    <row r="585" ht="12.75" customHeight="1" s="55">
      <c r="B585" s="77" t="n"/>
      <c r="C585" s="77" t="n"/>
    </row>
    <row r="586" ht="12.75" customHeight="1" s="55">
      <c r="B586" s="77" t="n"/>
      <c r="C586" s="77" t="n"/>
    </row>
    <row r="587" ht="12.75" customHeight="1" s="55">
      <c r="B587" s="77" t="n"/>
      <c r="C587" s="77" t="n"/>
    </row>
    <row r="588" ht="12.75" customHeight="1" s="55">
      <c r="B588" s="77" t="n"/>
      <c r="C588" s="77" t="n"/>
    </row>
    <row r="589" ht="12.75" customHeight="1" s="55">
      <c r="B589" s="77" t="n"/>
      <c r="C589" s="77" t="n"/>
    </row>
    <row r="590" ht="12.75" customHeight="1" s="55">
      <c r="B590" s="77" t="n"/>
      <c r="C590" s="77" t="n"/>
    </row>
    <row r="591" ht="12.75" customHeight="1" s="55">
      <c r="B591" s="77" t="n"/>
      <c r="C591" s="77" t="n"/>
    </row>
    <row r="592" ht="12.75" customHeight="1" s="55">
      <c r="B592" s="77" t="n"/>
      <c r="C592" s="77" t="n"/>
    </row>
    <row r="593" ht="12.75" customHeight="1" s="55">
      <c r="B593" s="77" t="n"/>
      <c r="C593" s="77" t="n"/>
    </row>
    <row r="594" ht="12.75" customHeight="1" s="55">
      <c r="B594" s="77" t="n"/>
      <c r="C594" s="77" t="n"/>
    </row>
    <row r="595" ht="12.75" customHeight="1" s="55">
      <c r="B595" s="77" t="n"/>
      <c r="C595" s="77" t="n"/>
    </row>
    <row r="596" ht="12.75" customHeight="1" s="55">
      <c r="B596" s="77" t="n"/>
      <c r="C596" s="77" t="n"/>
    </row>
    <row r="597" ht="12.75" customHeight="1" s="55">
      <c r="B597" s="77" t="n"/>
      <c r="C597" s="77" t="n"/>
    </row>
    <row r="598" ht="12.75" customHeight="1" s="55">
      <c r="B598" s="77" t="n"/>
      <c r="C598" s="77" t="n"/>
    </row>
    <row r="599" ht="12.75" customHeight="1" s="55">
      <c r="B599" s="77" t="n"/>
      <c r="C599" s="77" t="n"/>
    </row>
    <row r="600" ht="12.75" customHeight="1" s="55">
      <c r="B600" s="77" t="n"/>
      <c r="C600" s="77" t="n"/>
    </row>
    <row r="601" ht="12.75" customHeight="1" s="55">
      <c r="B601" s="77" t="n"/>
      <c r="C601" s="77" t="n"/>
    </row>
    <row r="602" ht="12.75" customHeight="1" s="55">
      <c r="B602" s="77" t="n"/>
      <c r="C602" s="77" t="n"/>
    </row>
    <row r="603" ht="12.75" customHeight="1" s="55">
      <c r="B603" s="77" t="n"/>
      <c r="C603" s="77" t="n"/>
    </row>
    <row r="604" ht="12.75" customHeight="1" s="55">
      <c r="B604" s="77" t="n"/>
      <c r="C604" s="77" t="n"/>
    </row>
    <row r="605" ht="12.75" customHeight="1" s="55">
      <c r="B605" s="77" t="n"/>
      <c r="C605" s="77" t="n"/>
    </row>
    <row r="606" ht="12.75" customHeight="1" s="55">
      <c r="B606" s="77" t="n"/>
      <c r="C606" s="77" t="n"/>
    </row>
    <row r="607" ht="12.75" customHeight="1" s="55">
      <c r="B607" s="77" t="n"/>
      <c r="C607" s="77" t="n"/>
    </row>
    <row r="608" ht="12.75" customHeight="1" s="55">
      <c r="B608" s="77" t="n"/>
      <c r="C608" s="77" t="n"/>
    </row>
    <row r="609" ht="12.75" customHeight="1" s="55">
      <c r="B609" s="77" t="n"/>
      <c r="C609" s="77" t="n"/>
    </row>
    <row r="610" ht="12.75" customHeight="1" s="55">
      <c r="B610" s="77" t="n"/>
      <c r="C610" s="77" t="n"/>
    </row>
    <row r="611" ht="12.75" customHeight="1" s="55">
      <c r="B611" s="77" t="n"/>
      <c r="C611" s="77" t="n"/>
    </row>
    <row r="612" ht="12.75" customHeight="1" s="55">
      <c r="B612" s="77" t="n"/>
      <c r="C612" s="77" t="n"/>
    </row>
    <row r="613" ht="12.75" customHeight="1" s="55">
      <c r="B613" s="77" t="n"/>
      <c r="C613" s="77" t="n"/>
    </row>
    <row r="614" ht="12.75" customHeight="1" s="55">
      <c r="B614" s="77" t="n"/>
      <c r="C614" s="77" t="n"/>
    </row>
    <row r="615" ht="12.75" customHeight="1" s="55">
      <c r="B615" s="77" t="n"/>
      <c r="C615" s="77" t="n"/>
    </row>
    <row r="616" ht="12.75" customHeight="1" s="55">
      <c r="B616" s="77" t="n"/>
      <c r="C616" s="77" t="n"/>
    </row>
    <row r="617" ht="12.75" customHeight="1" s="55">
      <c r="B617" s="77" t="n"/>
      <c r="C617" s="77" t="n"/>
    </row>
    <row r="618" ht="12.75" customHeight="1" s="55">
      <c r="B618" s="77" t="n"/>
      <c r="C618" s="77" t="n"/>
    </row>
    <row r="619" ht="12.75" customHeight="1" s="55">
      <c r="B619" s="77" t="n"/>
      <c r="C619" s="77" t="n"/>
    </row>
    <row r="620" ht="12.75" customHeight="1" s="55">
      <c r="B620" s="77" t="n"/>
      <c r="C620" s="77" t="n"/>
    </row>
    <row r="621" ht="12.75" customHeight="1" s="55">
      <c r="B621" s="77" t="n"/>
      <c r="C621" s="77" t="n"/>
    </row>
    <row r="622" ht="12.75" customHeight="1" s="55">
      <c r="B622" s="77" t="n"/>
      <c r="C622" s="77" t="n"/>
    </row>
    <row r="623" ht="12.75" customHeight="1" s="55">
      <c r="B623" s="77" t="n"/>
      <c r="C623" s="77" t="n"/>
    </row>
    <row r="624" ht="12.75" customHeight="1" s="55">
      <c r="B624" s="77" t="n"/>
      <c r="C624" s="77" t="n"/>
    </row>
    <row r="625" ht="12.75" customHeight="1" s="55">
      <c r="B625" s="77" t="n"/>
      <c r="C625" s="77" t="n"/>
    </row>
    <row r="626" ht="12.75" customHeight="1" s="55">
      <c r="B626" s="77" t="n"/>
      <c r="C626" s="77" t="n"/>
    </row>
    <row r="627" ht="12.75" customHeight="1" s="55">
      <c r="B627" s="77" t="n"/>
      <c r="C627" s="77" t="n"/>
    </row>
    <row r="628" ht="12.75" customHeight="1" s="55">
      <c r="B628" s="77" t="n"/>
      <c r="C628" s="77" t="n"/>
    </row>
    <row r="629" ht="12.75" customHeight="1" s="55">
      <c r="B629" s="77" t="n"/>
      <c r="C629" s="77" t="n"/>
    </row>
    <row r="630" ht="12.75" customHeight="1" s="55">
      <c r="B630" s="77" t="n"/>
      <c r="C630" s="77" t="n"/>
    </row>
    <row r="631" ht="12.75" customHeight="1" s="55">
      <c r="B631" s="77" t="n"/>
      <c r="C631" s="77" t="n"/>
    </row>
    <row r="632" ht="12.75" customHeight="1" s="55">
      <c r="B632" s="77" t="n"/>
      <c r="C632" s="77" t="n"/>
    </row>
    <row r="633" ht="12.75" customHeight="1" s="55">
      <c r="B633" s="77" t="n"/>
      <c r="C633" s="77" t="n"/>
    </row>
    <row r="634" ht="12.75" customHeight="1" s="55">
      <c r="B634" s="77" t="n"/>
      <c r="C634" s="77" t="n"/>
    </row>
    <row r="635" ht="12.75" customHeight="1" s="55">
      <c r="B635" s="77" t="n"/>
      <c r="C635" s="77" t="n"/>
    </row>
    <row r="636" ht="12.75" customHeight="1" s="55">
      <c r="B636" s="77" t="n"/>
      <c r="C636" s="77" t="n"/>
    </row>
    <row r="637" ht="12.75" customHeight="1" s="55">
      <c r="B637" s="77" t="n"/>
      <c r="C637" s="77" t="n"/>
    </row>
    <row r="638" ht="12.75" customHeight="1" s="55">
      <c r="B638" s="77" t="n"/>
      <c r="C638" s="77" t="n"/>
    </row>
    <row r="639" ht="12.75" customHeight="1" s="55">
      <c r="B639" s="77" t="n"/>
      <c r="C639" s="77" t="n"/>
    </row>
    <row r="640" ht="12.75" customHeight="1" s="55">
      <c r="B640" s="77" t="n"/>
      <c r="C640" s="77" t="n"/>
    </row>
    <row r="641" ht="12.75" customHeight="1" s="55">
      <c r="B641" s="77" t="n"/>
      <c r="C641" s="77" t="n"/>
    </row>
    <row r="642" ht="12.75" customHeight="1" s="55">
      <c r="B642" s="77" t="n"/>
      <c r="C642" s="77" t="n"/>
    </row>
    <row r="643" ht="12.75" customHeight="1" s="55">
      <c r="B643" s="77" t="n"/>
      <c r="C643" s="77" t="n"/>
    </row>
    <row r="644" ht="12.75" customHeight="1" s="55">
      <c r="B644" s="77" t="n"/>
      <c r="C644" s="77" t="n"/>
    </row>
    <row r="645" ht="12.75" customHeight="1" s="55">
      <c r="B645" s="77" t="n"/>
      <c r="C645" s="77" t="n"/>
    </row>
    <row r="646" ht="12.75" customHeight="1" s="55">
      <c r="B646" s="77" t="n"/>
      <c r="C646" s="77" t="n"/>
    </row>
    <row r="647" ht="12.75" customHeight="1" s="55">
      <c r="B647" s="77" t="n"/>
      <c r="C647" s="77" t="n"/>
    </row>
    <row r="648" ht="12.75" customHeight="1" s="55">
      <c r="B648" s="77" t="n"/>
      <c r="C648" s="77" t="n"/>
    </row>
    <row r="649" ht="12.75" customHeight="1" s="55">
      <c r="B649" s="77" t="n"/>
      <c r="C649" s="77" t="n"/>
    </row>
    <row r="650" ht="12.75" customHeight="1" s="55">
      <c r="B650" s="77" t="n"/>
      <c r="C650" s="77" t="n"/>
    </row>
    <row r="651" ht="12.75" customHeight="1" s="55">
      <c r="B651" s="77" t="n"/>
      <c r="C651" s="77" t="n"/>
    </row>
    <row r="652" ht="12.75" customHeight="1" s="55">
      <c r="B652" s="77" t="n"/>
      <c r="C652" s="77" t="n"/>
    </row>
    <row r="653" ht="12.75" customHeight="1" s="55">
      <c r="B653" s="77" t="n"/>
      <c r="C653" s="77" t="n"/>
    </row>
    <row r="654" ht="12.75" customHeight="1" s="55">
      <c r="B654" s="77" t="n"/>
      <c r="C654" s="77" t="n"/>
    </row>
    <row r="655" ht="12.75" customHeight="1" s="55">
      <c r="B655" s="77" t="n"/>
      <c r="C655" s="77" t="n"/>
    </row>
    <row r="656" ht="12.75" customHeight="1" s="55">
      <c r="B656" s="77" t="n"/>
      <c r="C656" s="77" t="n"/>
    </row>
    <row r="657" ht="12.75" customHeight="1" s="55">
      <c r="B657" s="77" t="n"/>
      <c r="C657" s="77" t="n"/>
    </row>
    <row r="658" ht="12.75" customHeight="1" s="55">
      <c r="B658" s="77" t="n"/>
      <c r="C658" s="77" t="n"/>
    </row>
    <row r="659" ht="12.75" customHeight="1" s="55">
      <c r="B659" s="77" t="n"/>
      <c r="C659" s="77" t="n"/>
    </row>
    <row r="660" ht="12.75" customHeight="1" s="55">
      <c r="B660" s="77" t="n"/>
      <c r="C660" s="77" t="n"/>
    </row>
    <row r="661" ht="12.75" customHeight="1" s="55">
      <c r="B661" s="77" t="n"/>
      <c r="C661" s="77" t="n"/>
    </row>
    <row r="662" ht="12.75" customHeight="1" s="55">
      <c r="B662" s="77" t="n"/>
      <c r="C662" s="77" t="n"/>
    </row>
    <row r="663" ht="12.75" customHeight="1" s="55">
      <c r="B663" s="77" t="n"/>
      <c r="C663" s="77" t="n"/>
    </row>
    <row r="664" ht="12.75" customHeight="1" s="55">
      <c r="B664" s="77" t="n"/>
      <c r="C664" s="77" t="n"/>
    </row>
    <row r="665" ht="12.75" customHeight="1" s="55">
      <c r="B665" s="77" t="n"/>
      <c r="C665" s="77" t="n"/>
    </row>
    <row r="666" ht="12.75" customHeight="1" s="55">
      <c r="B666" s="77" t="n"/>
      <c r="C666" s="77" t="n"/>
    </row>
    <row r="667" ht="12.75" customHeight="1" s="55">
      <c r="B667" s="77" t="n"/>
      <c r="C667" s="77" t="n"/>
    </row>
    <row r="668" ht="12.75" customHeight="1" s="55">
      <c r="B668" s="77" t="n"/>
      <c r="C668" s="77" t="n"/>
    </row>
    <row r="669" ht="12.75" customHeight="1" s="55">
      <c r="B669" s="77" t="n"/>
      <c r="C669" s="77" t="n"/>
    </row>
    <row r="670" ht="12.75" customHeight="1" s="55">
      <c r="B670" s="77" t="n"/>
      <c r="C670" s="77" t="n"/>
    </row>
    <row r="671" ht="12.75" customHeight="1" s="55">
      <c r="B671" s="77" t="n"/>
      <c r="C671" s="77" t="n"/>
    </row>
    <row r="672" ht="12.75" customHeight="1" s="55">
      <c r="B672" s="77" t="n"/>
      <c r="C672" s="77" t="n"/>
    </row>
    <row r="673" ht="12.75" customHeight="1" s="55">
      <c r="B673" s="77" t="n"/>
      <c r="C673" s="77" t="n"/>
    </row>
    <row r="674" ht="12.75" customHeight="1" s="55">
      <c r="B674" s="77" t="n"/>
      <c r="C674" s="77" t="n"/>
    </row>
    <row r="675" ht="12.75" customHeight="1" s="55">
      <c r="B675" s="77" t="n"/>
      <c r="C675" s="77" t="n"/>
    </row>
    <row r="676" ht="12.75" customHeight="1" s="55">
      <c r="B676" s="77" t="n"/>
      <c r="C676" s="77" t="n"/>
    </row>
    <row r="677" ht="12.75" customHeight="1" s="55">
      <c r="B677" s="77" t="n"/>
      <c r="C677" s="77" t="n"/>
    </row>
    <row r="678" ht="12.75" customHeight="1" s="55">
      <c r="B678" s="77" t="n"/>
      <c r="C678" s="77" t="n"/>
    </row>
    <row r="679" ht="12.75" customHeight="1" s="55">
      <c r="B679" s="77" t="n"/>
      <c r="C679" s="77" t="n"/>
    </row>
    <row r="680" ht="12.75" customHeight="1" s="55">
      <c r="B680" s="77" t="n"/>
      <c r="C680" s="77" t="n"/>
    </row>
    <row r="681" ht="12.75" customHeight="1" s="55">
      <c r="B681" s="77" t="n"/>
      <c r="C681" s="77" t="n"/>
    </row>
    <row r="682" ht="12.75" customHeight="1" s="55">
      <c r="B682" s="77" t="n"/>
      <c r="C682" s="77" t="n"/>
    </row>
    <row r="683" ht="12.75" customHeight="1" s="55">
      <c r="B683" s="77" t="n"/>
      <c r="C683" s="77" t="n"/>
    </row>
    <row r="684" ht="12.75" customHeight="1" s="55">
      <c r="B684" s="77" t="n"/>
      <c r="C684" s="77" t="n"/>
    </row>
    <row r="685" ht="12.75" customHeight="1" s="55">
      <c r="B685" s="77" t="n"/>
      <c r="C685" s="77" t="n"/>
    </row>
    <row r="686" ht="12.75" customHeight="1" s="55">
      <c r="B686" s="77" t="n"/>
      <c r="C686" s="77" t="n"/>
    </row>
    <row r="687" ht="12.75" customHeight="1" s="55">
      <c r="B687" s="77" t="n"/>
      <c r="C687" s="77" t="n"/>
    </row>
    <row r="688" ht="12.75" customHeight="1" s="55">
      <c r="B688" s="77" t="n"/>
      <c r="C688" s="77" t="n"/>
    </row>
    <row r="689" ht="12.75" customHeight="1" s="55">
      <c r="B689" s="77" t="n"/>
      <c r="C689" s="77" t="n"/>
    </row>
    <row r="690" ht="12.75" customHeight="1" s="55">
      <c r="B690" s="77" t="n"/>
      <c r="C690" s="77" t="n"/>
    </row>
    <row r="691" ht="12.75" customHeight="1" s="55">
      <c r="B691" s="77" t="n"/>
      <c r="C691" s="77" t="n"/>
    </row>
    <row r="692" ht="12.75" customHeight="1" s="55">
      <c r="B692" s="77" t="n"/>
      <c r="C692" s="77" t="n"/>
    </row>
    <row r="693" ht="12.75" customHeight="1" s="55">
      <c r="B693" s="77" t="n"/>
      <c r="C693" s="77" t="n"/>
    </row>
    <row r="694" ht="12.75" customHeight="1" s="55">
      <c r="B694" s="77" t="n"/>
      <c r="C694" s="77" t="n"/>
    </row>
    <row r="695" ht="12.75" customHeight="1" s="55">
      <c r="B695" s="77" t="n"/>
      <c r="C695" s="77" t="n"/>
    </row>
    <row r="696" ht="12.75" customHeight="1" s="55">
      <c r="B696" s="77" t="n"/>
      <c r="C696" s="77" t="n"/>
    </row>
    <row r="697" ht="12.75" customHeight="1" s="55">
      <c r="B697" s="77" t="n"/>
      <c r="C697" s="77" t="n"/>
    </row>
    <row r="698" ht="12.75" customHeight="1" s="55">
      <c r="B698" s="77" t="n"/>
      <c r="C698" s="77" t="n"/>
    </row>
    <row r="699" ht="12.75" customHeight="1" s="55">
      <c r="B699" s="77" t="n"/>
      <c r="C699" s="77" t="n"/>
    </row>
    <row r="700" ht="12.75" customHeight="1" s="55">
      <c r="B700" s="77" t="n"/>
      <c r="C700" s="77" t="n"/>
    </row>
    <row r="701" ht="12.75" customHeight="1" s="55">
      <c r="B701" s="77" t="n"/>
      <c r="C701" s="77" t="n"/>
    </row>
    <row r="702" ht="12.75" customHeight="1" s="55">
      <c r="B702" s="77" t="n"/>
      <c r="C702" s="77" t="n"/>
    </row>
    <row r="703" ht="12.75" customHeight="1" s="55">
      <c r="B703" s="77" t="n"/>
      <c r="C703" s="77" t="n"/>
    </row>
    <row r="704" ht="12.75" customHeight="1" s="55">
      <c r="B704" s="77" t="n"/>
      <c r="C704" s="77" t="n"/>
    </row>
    <row r="705" ht="12.75" customHeight="1" s="55">
      <c r="B705" s="77" t="n"/>
      <c r="C705" s="77" t="n"/>
    </row>
    <row r="706" ht="12.75" customHeight="1" s="55">
      <c r="B706" s="77" t="n"/>
      <c r="C706" s="77" t="n"/>
    </row>
    <row r="707" ht="12.75" customHeight="1" s="55">
      <c r="B707" s="77" t="n"/>
      <c r="C707" s="77" t="n"/>
    </row>
    <row r="708" ht="12.75" customHeight="1" s="55">
      <c r="B708" s="77" t="n"/>
      <c r="C708" s="77" t="n"/>
    </row>
    <row r="709" ht="12.75" customHeight="1" s="55">
      <c r="B709" s="77" t="n"/>
      <c r="C709" s="77" t="n"/>
    </row>
    <row r="710" ht="12.75" customHeight="1" s="55">
      <c r="B710" s="77" t="n"/>
      <c r="C710" s="77" t="n"/>
    </row>
    <row r="711" ht="12.75" customHeight="1" s="55">
      <c r="B711" s="77" t="n"/>
      <c r="C711" s="77" t="n"/>
    </row>
    <row r="712" ht="12.75" customHeight="1" s="55">
      <c r="B712" s="77" t="n"/>
      <c r="C712" s="77" t="n"/>
    </row>
    <row r="713" ht="12.75" customHeight="1" s="55">
      <c r="B713" s="77" t="n"/>
      <c r="C713" s="77" t="n"/>
    </row>
    <row r="714" ht="12.75" customHeight="1" s="55">
      <c r="B714" s="77" t="n"/>
      <c r="C714" s="77" t="n"/>
    </row>
    <row r="715" ht="12.75" customHeight="1" s="55">
      <c r="B715" s="77" t="n"/>
      <c r="C715" s="77" t="n"/>
    </row>
    <row r="716" ht="12.75" customHeight="1" s="55">
      <c r="B716" s="77" t="n"/>
      <c r="C716" s="77" t="n"/>
    </row>
    <row r="717" ht="12.75" customHeight="1" s="55">
      <c r="B717" s="77" t="n"/>
      <c r="C717" s="77" t="n"/>
    </row>
    <row r="718" ht="12.75" customHeight="1" s="55">
      <c r="B718" s="77" t="n"/>
      <c r="C718" s="77" t="n"/>
    </row>
    <row r="719" ht="12.75" customHeight="1" s="55">
      <c r="B719" s="77" t="n"/>
      <c r="C719" s="77" t="n"/>
    </row>
    <row r="720" ht="12.75" customHeight="1" s="55">
      <c r="B720" s="77" t="n"/>
      <c r="C720" s="77" t="n"/>
    </row>
    <row r="721" ht="12.75" customHeight="1" s="55">
      <c r="B721" s="77" t="n"/>
      <c r="C721" s="77" t="n"/>
    </row>
    <row r="722" ht="12.75" customHeight="1" s="55">
      <c r="B722" s="77" t="n"/>
      <c r="C722" s="77" t="n"/>
    </row>
    <row r="723" ht="12.75" customHeight="1" s="55">
      <c r="B723" s="77" t="n"/>
      <c r="C723" s="77" t="n"/>
    </row>
    <row r="724" ht="12.75" customHeight="1" s="55">
      <c r="B724" s="77" t="n"/>
      <c r="C724" s="77" t="n"/>
    </row>
    <row r="725" ht="12.75" customHeight="1" s="55">
      <c r="B725" s="77" t="n"/>
      <c r="C725" s="77" t="n"/>
    </row>
    <row r="726" ht="12.75" customHeight="1" s="55">
      <c r="B726" s="77" t="n"/>
      <c r="C726" s="77" t="n"/>
    </row>
    <row r="727" ht="12.75" customHeight="1" s="55">
      <c r="B727" s="77" t="n"/>
      <c r="C727" s="77" t="n"/>
    </row>
    <row r="728" ht="12.75" customHeight="1" s="55">
      <c r="B728" s="77" t="n"/>
      <c r="C728" s="77" t="n"/>
    </row>
    <row r="729" ht="12.75" customHeight="1" s="55">
      <c r="B729" s="77" t="n"/>
      <c r="C729" s="77" t="n"/>
    </row>
    <row r="730" ht="12.75" customHeight="1" s="55">
      <c r="B730" s="77" t="n"/>
      <c r="C730" s="77" t="n"/>
    </row>
    <row r="731" ht="12.75" customHeight="1" s="55">
      <c r="B731" s="77" t="n"/>
      <c r="C731" s="77" t="n"/>
    </row>
    <row r="732" ht="12.75" customHeight="1" s="55">
      <c r="B732" s="77" t="n"/>
      <c r="C732" s="77" t="n"/>
    </row>
    <row r="733" ht="12.75" customHeight="1" s="55">
      <c r="B733" s="77" t="n"/>
      <c r="C733" s="77" t="n"/>
    </row>
    <row r="734" ht="12.75" customHeight="1" s="55">
      <c r="B734" s="77" t="n"/>
      <c r="C734" s="77" t="n"/>
    </row>
    <row r="735" ht="12.75" customHeight="1" s="55">
      <c r="B735" s="77" t="n"/>
      <c r="C735" s="77" t="n"/>
    </row>
    <row r="736" ht="12.75" customHeight="1" s="55">
      <c r="B736" s="77" t="n"/>
      <c r="C736" s="77" t="n"/>
    </row>
    <row r="737" ht="12.75" customHeight="1" s="55">
      <c r="B737" s="77" t="n"/>
      <c r="C737" s="77" t="n"/>
    </row>
    <row r="738" ht="12.75" customHeight="1" s="55">
      <c r="B738" s="77" t="n"/>
      <c r="C738" s="77" t="n"/>
    </row>
    <row r="739" ht="12.75" customHeight="1" s="55">
      <c r="B739" s="77" t="n"/>
      <c r="C739" s="77" t="n"/>
    </row>
    <row r="740" ht="12.75" customHeight="1" s="55">
      <c r="B740" s="77" t="n"/>
      <c r="C740" s="77" t="n"/>
    </row>
    <row r="741" ht="12.75" customHeight="1" s="55">
      <c r="B741" s="77" t="n"/>
      <c r="C741" s="77" t="n"/>
    </row>
    <row r="742" ht="12.75" customHeight="1" s="55">
      <c r="B742" s="77" t="n"/>
      <c r="C742" s="77" t="n"/>
    </row>
    <row r="743" ht="12.75" customHeight="1" s="55">
      <c r="B743" s="77" t="n"/>
      <c r="C743" s="77" t="n"/>
    </row>
    <row r="744" ht="12.75" customHeight="1" s="55">
      <c r="B744" s="77" t="n"/>
      <c r="C744" s="77" t="n"/>
    </row>
    <row r="745" ht="12.75" customHeight="1" s="55">
      <c r="B745" s="77" t="n"/>
      <c r="C745" s="77" t="n"/>
    </row>
    <row r="746" ht="12.75" customHeight="1" s="55">
      <c r="B746" s="77" t="n"/>
      <c r="C746" s="77" t="n"/>
    </row>
    <row r="747" ht="12.75" customHeight="1" s="55">
      <c r="B747" s="77" t="n"/>
      <c r="C747" s="77" t="n"/>
    </row>
    <row r="748" ht="12.75" customHeight="1" s="55">
      <c r="B748" s="77" t="n"/>
      <c r="C748" s="77" t="n"/>
    </row>
    <row r="749" ht="12.75" customHeight="1" s="55">
      <c r="B749" s="77" t="n"/>
      <c r="C749" s="77" t="n"/>
    </row>
    <row r="750" ht="12.75" customHeight="1" s="55">
      <c r="B750" s="77" t="n"/>
      <c r="C750" s="77" t="n"/>
    </row>
    <row r="751" ht="12.75" customHeight="1" s="55">
      <c r="B751" s="77" t="n"/>
      <c r="C751" s="77" t="n"/>
    </row>
    <row r="752" ht="12.75" customHeight="1" s="55">
      <c r="B752" s="77" t="n"/>
      <c r="C752" s="77" t="n"/>
    </row>
    <row r="753" ht="12.75" customHeight="1" s="55">
      <c r="B753" s="77" t="n"/>
      <c r="C753" s="77" t="n"/>
    </row>
    <row r="754" ht="12.75" customHeight="1" s="55">
      <c r="B754" s="77" t="n"/>
      <c r="C754" s="77" t="n"/>
    </row>
    <row r="755" ht="12.75" customHeight="1" s="55">
      <c r="B755" s="77" t="n"/>
      <c r="C755" s="77" t="n"/>
    </row>
    <row r="756" ht="12.75" customHeight="1" s="55">
      <c r="B756" s="77" t="n"/>
      <c r="C756" s="77" t="n"/>
    </row>
    <row r="757" ht="12.75" customHeight="1" s="55">
      <c r="B757" s="77" t="n"/>
      <c r="C757" s="77" t="n"/>
    </row>
    <row r="758" ht="12.75" customHeight="1" s="55">
      <c r="B758" s="77" t="n"/>
      <c r="C758" s="77" t="n"/>
    </row>
    <row r="759" ht="12.75" customHeight="1" s="55">
      <c r="B759" s="77" t="n"/>
      <c r="C759" s="77" t="n"/>
    </row>
    <row r="760" ht="12.75" customHeight="1" s="55">
      <c r="B760" s="77" t="n"/>
      <c r="C760" s="77" t="n"/>
    </row>
    <row r="761" ht="12.75" customHeight="1" s="55">
      <c r="B761" s="77" t="n"/>
      <c r="C761" s="77" t="n"/>
    </row>
    <row r="762" ht="12.75" customHeight="1" s="55">
      <c r="B762" s="77" t="n"/>
      <c r="C762" s="77" t="n"/>
    </row>
    <row r="763" ht="12.75" customHeight="1" s="55">
      <c r="B763" s="77" t="n"/>
      <c r="C763" s="77" t="n"/>
    </row>
    <row r="764" ht="12.75" customHeight="1" s="55">
      <c r="B764" s="77" t="n"/>
      <c r="C764" s="77" t="n"/>
    </row>
    <row r="765" ht="12.75" customHeight="1" s="55">
      <c r="B765" s="77" t="n"/>
      <c r="C765" s="77" t="n"/>
    </row>
    <row r="766" ht="12.75" customHeight="1" s="55">
      <c r="B766" s="77" t="n"/>
      <c r="C766" s="77" t="n"/>
    </row>
    <row r="767" ht="12.75" customHeight="1" s="55">
      <c r="B767" s="77" t="n"/>
      <c r="C767" s="77" t="n"/>
    </row>
    <row r="768" ht="12.75" customHeight="1" s="55">
      <c r="B768" s="77" t="n"/>
      <c r="C768" s="77" t="n"/>
    </row>
    <row r="769" ht="12.75" customHeight="1" s="55">
      <c r="B769" s="77" t="n"/>
      <c r="C769" s="77" t="n"/>
    </row>
    <row r="770" ht="12.75" customHeight="1" s="55">
      <c r="B770" s="77" t="n"/>
      <c r="C770" s="77" t="n"/>
    </row>
    <row r="771" ht="12.75" customHeight="1" s="55">
      <c r="B771" s="77" t="n"/>
      <c r="C771" s="77" t="n"/>
    </row>
    <row r="772" ht="12.75" customHeight="1" s="55">
      <c r="B772" s="77" t="n"/>
      <c r="C772" s="77" t="n"/>
    </row>
    <row r="773" ht="12.75" customHeight="1" s="55">
      <c r="B773" s="77" t="n"/>
      <c r="C773" s="77" t="n"/>
    </row>
    <row r="774" ht="12.75" customHeight="1" s="55">
      <c r="B774" s="77" t="n"/>
      <c r="C774" s="77" t="n"/>
    </row>
    <row r="775" ht="12.75" customHeight="1" s="55">
      <c r="B775" s="77" t="n"/>
      <c r="C775" s="77" t="n"/>
    </row>
    <row r="776" ht="12.75" customHeight="1" s="55">
      <c r="B776" s="77" t="n"/>
      <c r="C776" s="77" t="n"/>
    </row>
    <row r="777" ht="12.75" customHeight="1" s="55">
      <c r="B777" s="77" t="n"/>
      <c r="C777" s="77" t="n"/>
    </row>
    <row r="778" ht="12.75" customHeight="1" s="55">
      <c r="B778" s="77" t="n"/>
      <c r="C778" s="77" t="n"/>
    </row>
    <row r="779" ht="12.75" customHeight="1" s="55">
      <c r="B779" s="77" t="n"/>
      <c r="C779" s="77" t="n"/>
    </row>
    <row r="780" ht="12.75" customHeight="1" s="55">
      <c r="B780" s="77" t="n"/>
      <c r="C780" s="77" t="n"/>
    </row>
    <row r="781" ht="12.75" customHeight="1" s="55">
      <c r="B781" s="77" t="n"/>
      <c r="C781" s="77" t="n"/>
    </row>
    <row r="782" ht="12.75" customHeight="1" s="55">
      <c r="B782" s="77" t="n"/>
      <c r="C782" s="77" t="n"/>
    </row>
    <row r="783" ht="12.75" customHeight="1" s="55">
      <c r="B783" s="77" t="n"/>
      <c r="C783" s="77" t="n"/>
    </row>
    <row r="784" ht="12.75" customHeight="1" s="55">
      <c r="B784" s="77" t="n"/>
      <c r="C784" s="77" t="n"/>
    </row>
    <row r="785" ht="12.75" customHeight="1" s="55">
      <c r="B785" s="77" t="n"/>
      <c r="C785" s="77" t="n"/>
    </row>
    <row r="786" ht="12.75" customHeight="1" s="55">
      <c r="B786" s="77" t="n"/>
      <c r="C786" s="77" t="n"/>
    </row>
    <row r="787" ht="12.75" customHeight="1" s="55">
      <c r="B787" s="77" t="n"/>
      <c r="C787" s="77" t="n"/>
    </row>
    <row r="788" ht="12.75" customHeight="1" s="55">
      <c r="B788" s="77" t="n"/>
      <c r="C788" s="77" t="n"/>
    </row>
    <row r="789" ht="12.75" customHeight="1" s="55">
      <c r="B789" s="77" t="n"/>
      <c r="C789" s="77" t="n"/>
    </row>
    <row r="790" ht="12.75" customHeight="1" s="55">
      <c r="B790" s="77" t="n"/>
      <c r="C790" s="77" t="n"/>
    </row>
    <row r="791" ht="12.75" customHeight="1" s="55">
      <c r="B791" s="77" t="n"/>
      <c r="C791" s="77" t="n"/>
    </row>
    <row r="792" ht="12.75" customHeight="1" s="55">
      <c r="B792" s="77" t="n"/>
      <c r="C792" s="77" t="n"/>
    </row>
    <row r="793" ht="12.75" customHeight="1" s="55">
      <c r="B793" s="77" t="n"/>
      <c r="C793" s="77" t="n"/>
    </row>
    <row r="794" ht="12.75" customHeight="1" s="55">
      <c r="B794" s="77" t="n"/>
      <c r="C794" s="77" t="n"/>
    </row>
    <row r="795" ht="12.75" customHeight="1" s="55">
      <c r="B795" s="77" t="n"/>
      <c r="C795" s="77" t="n"/>
    </row>
    <row r="796" ht="12.75" customHeight="1" s="55">
      <c r="B796" s="77" t="n"/>
      <c r="C796" s="77" t="n"/>
    </row>
    <row r="797" ht="12.75" customHeight="1" s="55">
      <c r="B797" s="77" t="n"/>
      <c r="C797" s="77" t="n"/>
    </row>
    <row r="798" ht="12.75" customHeight="1" s="55">
      <c r="B798" s="77" t="n"/>
      <c r="C798" s="77" t="n"/>
    </row>
    <row r="799" ht="12.75" customHeight="1" s="55">
      <c r="B799" s="77" t="n"/>
      <c r="C799" s="77" t="n"/>
    </row>
    <row r="800" ht="12.75" customHeight="1" s="55">
      <c r="B800" s="77" t="n"/>
      <c r="C800" s="77" t="n"/>
    </row>
    <row r="801" ht="12.75" customHeight="1" s="55">
      <c r="B801" s="77" t="n"/>
      <c r="C801" s="77" t="n"/>
    </row>
    <row r="802" ht="12.75" customHeight="1" s="55">
      <c r="B802" s="77" t="n"/>
      <c r="C802" s="77" t="n"/>
    </row>
    <row r="803" ht="12.75" customHeight="1" s="55">
      <c r="B803" s="77" t="n"/>
      <c r="C803" s="77" t="n"/>
    </row>
    <row r="804" ht="12.75" customHeight="1" s="55">
      <c r="B804" s="77" t="n"/>
      <c r="C804" s="77" t="n"/>
    </row>
    <row r="805" ht="12.75" customHeight="1" s="55">
      <c r="B805" s="77" t="n"/>
      <c r="C805" s="77" t="n"/>
    </row>
    <row r="806" ht="12.75" customHeight="1" s="55">
      <c r="B806" s="77" t="n"/>
      <c r="C806" s="77" t="n"/>
    </row>
    <row r="807" ht="12.75" customHeight="1" s="55">
      <c r="B807" s="77" t="n"/>
      <c r="C807" s="77" t="n"/>
    </row>
    <row r="808" ht="12.75" customHeight="1" s="55">
      <c r="B808" s="77" t="n"/>
      <c r="C808" s="77" t="n"/>
    </row>
    <row r="809" ht="12.75" customHeight="1" s="55">
      <c r="B809" s="77" t="n"/>
      <c r="C809" s="77" t="n"/>
    </row>
    <row r="810" ht="12.75" customHeight="1" s="55">
      <c r="B810" s="77" t="n"/>
      <c r="C810" s="77" t="n"/>
    </row>
    <row r="811" ht="12.75" customHeight="1" s="55">
      <c r="B811" s="77" t="n"/>
      <c r="C811" s="77" t="n"/>
    </row>
    <row r="812" ht="12.75" customHeight="1" s="55">
      <c r="B812" s="77" t="n"/>
      <c r="C812" s="77" t="n"/>
    </row>
    <row r="813" ht="12.75" customHeight="1" s="55">
      <c r="B813" s="77" t="n"/>
      <c r="C813" s="77" t="n"/>
    </row>
    <row r="814" ht="12.75" customHeight="1" s="55">
      <c r="B814" s="77" t="n"/>
      <c r="C814" s="77" t="n"/>
    </row>
    <row r="815" ht="12.75" customHeight="1" s="55">
      <c r="B815" s="77" t="n"/>
      <c r="C815" s="77" t="n"/>
    </row>
    <row r="816" ht="12.75" customHeight="1" s="55">
      <c r="B816" s="77" t="n"/>
      <c r="C816" s="77" t="n"/>
    </row>
    <row r="817" ht="12.75" customHeight="1" s="55">
      <c r="B817" s="77" t="n"/>
      <c r="C817" s="77" t="n"/>
    </row>
    <row r="818" ht="12.75" customHeight="1" s="55">
      <c r="B818" s="77" t="n"/>
      <c r="C818" s="77" t="n"/>
    </row>
    <row r="819" ht="12.75" customHeight="1" s="55">
      <c r="B819" s="77" t="n"/>
      <c r="C819" s="77" t="n"/>
    </row>
    <row r="820" ht="12.75" customHeight="1" s="55">
      <c r="B820" s="77" t="n"/>
      <c r="C820" s="77" t="n"/>
    </row>
    <row r="821" ht="12.75" customHeight="1" s="55">
      <c r="B821" s="77" t="n"/>
      <c r="C821" s="77" t="n"/>
    </row>
    <row r="822" ht="12.75" customHeight="1" s="55">
      <c r="B822" s="77" t="n"/>
      <c r="C822" s="77" t="n"/>
    </row>
    <row r="823" ht="12.75" customHeight="1" s="55">
      <c r="B823" s="77" t="n"/>
      <c r="C823" s="77" t="n"/>
    </row>
    <row r="824" ht="12.75" customHeight="1" s="55">
      <c r="B824" s="77" t="n"/>
      <c r="C824" s="77" t="n"/>
    </row>
    <row r="825" ht="12.75" customHeight="1" s="55">
      <c r="B825" s="77" t="n"/>
      <c r="C825" s="77" t="n"/>
    </row>
    <row r="826" ht="12.75" customHeight="1" s="55">
      <c r="B826" s="77" t="n"/>
      <c r="C826" s="77" t="n"/>
    </row>
    <row r="827" ht="12.75" customHeight="1" s="55">
      <c r="B827" s="77" t="n"/>
      <c r="C827" s="77" t="n"/>
    </row>
    <row r="828" ht="12.75" customHeight="1" s="55">
      <c r="B828" s="77" t="n"/>
      <c r="C828" s="77" t="n"/>
    </row>
    <row r="829" ht="12.75" customHeight="1" s="55">
      <c r="B829" s="77" t="n"/>
      <c r="C829" s="77" t="n"/>
    </row>
    <row r="830" ht="12.75" customHeight="1" s="55">
      <c r="B830" s="77" t="n"/>
      <c r="C830" s="77" t="n"/>
    </row>
    <row r="831" ht="12.75" customHeight="1" s="55">
      <c r="B831" s="77" t="n"/>
      <c r="C831" s="77" t="n"/>
    </row>
    <row r="832" ht="12.75" customHeight="1" s="55">
      <c r="B832" s="77" t="n"/>
      <c r="C832" s="77" t="n"/>
    </row>
    <row r="833" ht="12.75" customHeight="1" s="55">
      <c r="B833" s="77" t="n"/>
      <c r="C833" s="77" t="n"/>
    </row>
    <row r="834" ht="12.75" customHeight="1" s="55">
      <c r="B834" s="77" t="n"/>
      <c r="C834" s="77" t="n"/>
    </row>
    <row r="835" ht="12.75" customHeight="1" s="55">
      <c r="B835" s="77" t="n"/>
      <c r="C835" s="77" t="n"/>
    </row>
    <row r="836" ht="12.75" customHeight="1" s="55">
      <c r="B836" s="77" t="n"/>
      <c r="C836" s="77" t="n"/>
    </row>
    <row r="837" ht="12.75" customHeight="1" s="55">
      <c r="B837" s="77" t="n"/>
      <c r="C837" s="77" t="n"/>
    </row>
    <row r="838" ht="12.75" customHeight="1" s="55">
      <c r="B838" s="77" t="n"/>
      <c r="C838" s="77" t="n"/>
    </row>
    <row r="839" ht="12.75" customHeight="1" s="55">
      <c r="B839" s="77" t="n"/>
      <c r="C839" s="77" t="n"/>
    </row>
    <row r="840" ht="12.75" customHeight="1" s="55">
      <c r="B840" s="77" t="n"/>
      <c r="C840" s="77" t="n"/>
    </row>
    <row r="841" ht="12.75" customHeight="1" s="55">
      <c r="B841" s="77" t="n"/>
      <c r="C841" s="77" t="n"/>
    </row>
    <row r="842" ht="12.75" customHeight="1" s="55">
      <c r="B842" s="77" t="n"/>
      <c r="C842" s="77" t="n"/>
    </row>
    <row r="843" ht="12.75" customHeight="1" s="55">
      <c r="B843" s="77" t="n"/>
      <c r="C843" s="77" t="n"/>
    </row>
    <row r="844" ht="12.75" customHeight="1" s="55">
      <c r="B844" s="77" t="n"/>
      <c r="C844" s="77" t="n"/>
    </row>
    <row r="845" ht="12.75" customHeight="1" s="55">
      <c r="B845" s="77" t="n"/>
      <c r="C845" s="77" t="n"/>
    </row>
    <row r="846" ht="12.75" customHeight="1" s="55">
      <c r="B846" s="77" t="n"/>
      <c r="C846" s="77" t="n"/>
    </row>
    <row r="847" ht="12.75" customHeight="1" s="55">
      <c r="B847" s="77" t="n"/>
      <c r="C847" s="77" t="n"/>
    </row>
    <row r="848" ht="12.75" customHeight="1" s="55">
      <c r="B848" s="77" t="n"/>
      <c r="C848" s="77" t="n"/>
    </row>
    <row r="849" ht="12.75" customHeight="1" s="55">
      <c r="B849" s="77" t="n"/>
      <c r="C849" s="77" t="n"/>
    </row>
    <row r="850" ht="12.75" customHeight="1" s="55">
      <c r="B850" s="77" t="n"/>
      <c r="C850" s="77" t="n"/>
    </row>
    <row r="851" ht="12.75" customHeight="1" s="55">
      <c r="B851" s="77" t="n"/>
      <c r="C851" s="77" t="n"/>
    </row>
    <row r="852" ht="12.75" customHeight="1" s="55">
      <c r="B852" s="77" t="n"/>
      <c r="C852" s="77" t="n"/>
    </row>
    <row r="853" ht="12.75" customHeight="1" s="55">
      <c r="B853" s="77" t="n"/>
      <c r="C853" s="77" t="n"/>
    </row>
    <row r="854" ht="12.75" customHeight="1" s="55">
      <c r="B854" s="77" t="n"/>
      <c r="C854" s="77" t="n"/>
    </row>
    <row r="855" ht="12.75" customHeight="1" s="55">
      <c r="B855" s="77" t="n"/>
      <c r="C855" s="77" t="n"/>
    </row>
    <row r="856" ht="12.75" customHeight="1" s="55">
      <c r="B856" s="77" t="n"/>
      <c r="C856" s="77" t="n"/>
    </row>
    <row r="857" ht="12.75" customHeight="1" s="55">
      <c r="B857" s="77" t="n"/>
      <c r="C857" s="77" t="n"/>
    </row>
    <row r="858" ht="12.75" customHeight="1" s="55">
      <c r="B858" s="77" t="n"/>
      <c r="C858" s="77" t="n"/>
    </row>
    <row r="859" ht="12.75" customHeight="1" s="55">
      <c r="B859" s="77" t="n"/>
      <c r="C859" s="77" t="n"/>
    </row>
    <row r="860" ht="12.75" customHeight="1" s="55">
      <c r="B860" s="77" t="n"/>
      <c r="C860" s="77" t="n"/>
    </row>
    <row r="861" ht="12.75" customHeight="1" s="55">
      <c r="B861" s="77" t="n"/>
      <c r="C861" s="77" t="n"/>
    </row>
    <row r="862" ht="12.75" customHeight="1" s="55">
      <c r="B862" s="77" t="n"/>
      <c r="C862" s="77" t="n"/>
    </row>
    <row r="863" ht="12.75" customHeight="1" s="55">
      <c r="B863" s="77" t="n"/>
      <c r="C863" s="77" t="n"/>
    </row>
    <row r="864" ht="12.75" customHeight="1" s="55">
      <c r="B864" s="77" t="n"/>
      <c r="C864" s="77" t="n"/>
    </row>
    <row r="865" ht="12.75" customHeight="1" s="55">
      <c r="B865" s="77" t="n"/>
      <c r="C865" s="77" t="n"/>
    </row>
    <row r="866" ht="12.75" customHeight="1" s="55">
      <c r="B866" s="77" t="n"/>
      <c r="C866" s="77" t="n"/>
    </row>
    <row r="867" ht="12.75" customHeight="1" s="55">
      <c r="B867" s="77" t="n"/>
      <c r="C867" s="77" t="n"/>
    </row>
    <row r="868" ht="12.75" customHeight="1" s="55">
      <c r="B868" s="77" t="n"/>
      <c r="C868" s="77" t="n"/>
    </row>
    <row r="869" ht="12.75" customHeight="1" s="55">
      <c r="B869" s="77" t="n"/>
      <c r="C869" s="77" t="n"/>
    </row>
    <row r="870" ht="12.75" customHeight="1" s="55">
      <c r="B870" s="77" t="n"/>
      <c r="C870" s="77" t="n"/>
    </row>
    <row r="871" ht="12.75" customHeight="1" s="55">
      <c r="B871" s="77" t="n"/>
      <c r="C871" s="77" t="n"/>
    </row>
    <row r="872" ht="12.75" customHeight="1" s="55">
      <c r="B872" s="77" t="n"/>
      <c r="C872" s="77" t="n"/>
    </row>
    <row r="873" ht="12.75" customHeight="1" s="55">
      <c r="B873" s="77" t="n"/>
      <c r="C873" s="77" t="n"/>
    </row>
    <row r="874" ht="12.75" customHeight="1" s="55">
      <c r="B874" s="77" t="n"/>
      <c r="C874" s="77" t="n"/>
    </row>
    <row r="875" ht="12.75" customHeight="1" s="55">
      <c r="B875" s="77" t="n"/>
      <c r="C875" s="77" t="n"/>
    </row>
    <row r="876" ht="12.75" customHeight="1" s="55">
      <c r="B876" s="77" t="n"/>
      <c r="C876" s="77" t="n"/>
    </row>
    <row r="877" ht="12.75" customHeight="1" s="55">
      <c r="B877" s="77" t="n"/>
      <c r="C877" s="77" t="n"/>
    </row>
    <row r="878" ht="12.75" customHeight="1" s="55">
      <c r="B878" s="77" t="n"/>
      <c r="C878" s="77" t="n"/>
    </row>
    <row r="879" ht="12.75" customHeight="1" s="55">
      <c r="B879" s="77" t="n"/>
      <c r="C879" s="77" t="n"/>
    </row>
    <row r="880" ht="12.75" customHeight="1" s="55">
      <c r="B880" s="77" t="n"/>
      <c r="C880" s="77" t="n"/>
    </row>
    <row r="881" ht="12.75" customHeight="1" s="55">
      <c r="B881" s="77" t="n"/>
      <c r="C881" s="77" t="n"/>
    </row>
    <row r="882" ht="12.75" customHeight="1" s="55">
      <c r="B882" s="77" t="n"/>
      <c r="C882" s="77" t="n"/>
    </row>
    <row r="883" ht="12.75" customHeight="1" s="55">
      <c r="B883" s="77" t="n"/>
      <c r="C883" s="77" t="n"/>
    </row>
    <row r="884" ht="12.75" customHeight="1" s="55">
      <c r="B884" s="77" t="n"/>
      <c r="C884" s="77" t="n"/>
    </row>
    <row r="885" ht="12.75" customHeight="1" s="55">
      <c r="B885" s="77" t="n"/>
      <c r="C885" s="77" t="n"/>
    </row>
    <row r="886" ht="12.75" customHeight="1" s="55">
      <c r="B886" s="77" t="n"/>
      <c r="C886" s="77" t="n"/>
    </row>
    <row r="887" ht="12.75" customHeight="1" s="55">
      <c r="B887" s="77" t="n"/>
      <c r="C887" s="77" t="n"/>
    </row>
    <row r="888" ht="12.75" customHeight="1" s="55">
      <c r="B888" s="77" t="n"/>
      <c r="C888" s="77" t="n"/>
    </row>
    <row r="889" ht="12.75" customHeight="1" s="55">
      <c r="B889" s="77" t="n"/>
      <c r="C889" s="77" t="n"/>
    </row>
    <row r="890" ht="12.75" customHeight="1" s="55">
      <c r="B890" s="77" t="n"/>
      <c r="C890" s="77" t="n"/>
    </row>
    <row r="891" ht="12.75" customHeight="1" s="55">
      <c r="B891" s="77" t="n"/>
      <c r="C891" s="77" t="n"/>
    </row>
    <row r="892" ht="12.75" customHeight="1" s="55">
      <c r="B892" s="77" t="n"/>
      <c r="C892" s="77" t="n"/>
    </row>
    <row r="893" ht="12.75" customHeight="1" s="55">
      <c r="B893" s="77" t="n"/>
      <c r="C893" s="77" t="n"/>
    </row>
    <row r="894" ht="12.75" customHeight="1" s="55">
      <c r="B894" s="77" t="n"/>
      <c r="C894" s="77" t="n"/>
    </row>
    <row r="895" ht="12.75" customHeight="1" s="55">
      <c r="B895" s="77" t="n"/>
      <c r="C895" s="77" t="n"/>
    </row>
    <row r="896" ht="12.75" customHeight="1" s="55">
      <c r="B896" s="77" t="n"/>
      <c r="C896" s="77" t="n"/>
    </row>
    <row r="897" ht="12.75" customHeight="1" s="55">
      <c r="B897" s="77" t="n"/>
      <c r="C897" s="77" t="n"/>
    </row>
    <row r="898" ht="12.75" customHeight="1" s="55">
      <c r="B898" s="77" t="n"/>
      <c r="C898" s="77" t="n"/>
    </row>
    <row r="899" ht="12.75" customHeight="1" s="55">
      <c r="B899" s="77" t="n"/>
      <c r="C899" s="77" t="n"/>
    </row>
    <row r="900" ht="12.75" customHeight="1" s="55">
      <c r="B900" s="77" t="n"/>
      <c r="C900" s="77" t="n"/>
    </row>
    <row r="901" ht="12.75" customHeight="1" s="55">
      <c r="B901" s="77" t="n"/>
      <c r="C901" s="77" t="n"/>
    </row>
    <row r="902" ht="12.75" customHeight="1" s="55">
      <c r="B902" s="77" t="n"/>
      <c r="C902" s="77" t="n"/>
    </row>
    <row r="903" ht="12.75" customHeight="1" s="55">
      <c r="B903" s="77" t="n"/>
      <c r="C903" s="77" t="n"/>
    </row>
    <row r="904" ht="12.75" customHeight="1" s="55">
      <c r="B904" s="77" t="n"/>
      <c r="C904" s="77" t="n"/>
    </row>
    <row r="905" ht="12.75" customHeight="1" s="55">
      <c r="B905" s="77" t="n"/>
      <c r="C905" s="77" t="n"/>
    </row>
    <row r="906" ht="12.75" customHeight="1" s="55">
      <c r="B906" s="77" t="n"/>
      <c r="C906" s="77" t="n"/>
    </row>
    <row r="907" ht="12.75" customHeight="1" s="55">
      <c r="B907" s="77" t="n"/>
      <c r="C907" s="77" t="n"/>
    </row>
    <row r="908" ht="12.75" customHeight="1" s="55">
      <c r="B908" s="77" t="n"/>
      <c r="C908" s="77" t="n"/>
    </row>
    <row r="909" ht="12.75" customHeight="1" s="55">
      <c r="B909" s="77" t="n"/>
      <c r="C909" s="77" t="n"/>
    </row>
    <row r="910" ht="12.75" customHeight="1" s="55">
      <c r="B910" s="77" t="n"/>
      <c r="C910" s="77" t="n"/>
    </row>
    <row r="911" ht="12.75" customHeight="1" s="55">
      <c r="B911" s="77" t="n"/>
      <c r="C911" s="77" t="n"/>
    </row>
    <row r="912" ht="12.75" customHeight="1" s="55">
      <c r="B912" s="77" t="n"/>
      <c r="C912" s="77" t="n"/>
    </row>
    <row r="913" ht="12.75" customHeight="1" s="55">
      <c r="B913" s="77" t="n"/>
      <c r="C913" s="77" t="n"/>
    </row>
    <row r="914" ht="12.75" customHeight="1" s="55">
      <c r="B914" s="77" t="n"/>
      <c r="C914" s="77" t="n"/>
    </row>
    <row r="915" ht="12.75" customHeight="1" s="55">
      <c r="B915" s="77" t="n"/>
      <c r="C915" s="77" t="n"/>
    </row>
    <row r="916" ht="12.75" customHeight="1" s="55">
      <c r="B916" s="77" t="n"/>
      <c r="C916" s="77" t="n"/>
    </row>
    <row r="917" ht="12.75" customHeight="1" s="55">
      <c r="B917" s="77" t="n"/>
      <c r="C917" s="77" t="n"/>
    </row>
    <row r="918" ht="12.75" customHeight="1" s="55">
      <c r="B918" s="77" t="n"/>
      <c r="C918" s="77" t="n"/>
    </row>
    <row r="919" ht="12.75" customHeight="1" s="55">
      <c r="B919" s="77" t="n"/>
      <c r="C919" s="77" t="n"/>
    </row>
    <row r="920" ht="12.75" customHeight="1" s="55">
      <c r="B920" s="77" t="n"/>
      <c r="C920" s="77" t="n"/>
    </row>
    <row r="921" ht="12.75" customHeight="1" s="55">
      <c r="B921" s="77" t="n"/>
      <c r="C921" s="77" t="n"/>
    </row>
    <row r="922" ht="12.75" customHeight="1" s="55">
      <c r="B922" s="77" t="n"/>
      <c r="C922" s="77" t="n"/>
    </row>
    <row r="923" ht="12.75" customHeight="1" s="55">
      <c r="B923" s="77" t="n"/>
      <c r="C923" s="77" t="n"/>
    </row>
    <row r="924" ht="12.75" customHeight="1" s="55">
      <c r="B924" s="77" t="n"/>
      <c r="C924" s="77" t="n"/>
    </row>
    <row r="925" ht="12.75" customHeight="1" s="55">
      <c r="B925" s="77" t="n"/>
      <c r="C925" s="77" t="n"/>
    </row>
    <row r="926" ht="12.75" customHeight="1" s="55">
      <c r="B926" s="77" t="n"/>
      <c r="C926" s="77" t="n"/>
    </row>
    <row r="927" ht="12.75" customHeight="1" s="55">
      <c r="B927" s="77" t="n"/>
      <c r="C927" s="77" t="n"/>
    </row>
    <row r="928" ht="12.75" customHeight="1" s="55">
      <c r="B928" s="77" t="n"/>
      <c r="C928" s="77" t="n"/>
    </row>
    <row r="929" ht="12.75" customHeight="1" s="55">
      <c r="B929" s="77" t="n"/>
      <c r="C929" s="77" t="n"/>
    </row>
    <row r="930" ht="12.75" customHeight="1" s="55">
      <c r="B930" s="77" t="n"/>
      <c r="C930" s="77" t="n"/>
    </row>
    <row r="931" ht="12.75" customHeight="1" s="55">
      <c r="B931" s="77" t="n"/>
      <c r="C931" s="77" t="n"/>
    </row>
    <row r="932" ht="12.75" customHeight="1" s="55">
      <c r="B932" s="77" t="n"/>
      <c r="C932" s="77" t="n"/>
    </row>
    <row r="933" ht="12.75" customHeight="1" s="55">
      <c r="B933" s="77" t="n"/>
      <c r="C933" s="77" t="n"/>
    </row>
    <row r="934" ht="12.75" customHeight="1" s="55">
      <c r="B934" s="77" t="n"/>
      <c r="C934" s="77" t="n"/>
    </row>
    <row r="935" ht="12.75" customHeight="1" s="55">
      <c r="B935" s="77" t="n"/>
      <c r="C935" s="77" t="n"/>
    </row>
    <row r="936" ht="12.75" customHeight="1" s="55">
      <c r="B936" s="77" t="n"/>
      <c r="C936" s="77" t="n"/>
    </row>
    <row r="937" ht="12.75" customHeight="1" s="55">
      <c r="B937" s="77" t="n"/>
      <c r="C937" s="77" t="n"/>
    </row>
    <row r="938" ht="12.75" customHeight="1" s="55">
      <c r="B938" s="77" t="n"/>
      <c r="C938" s="77" t="n"/>
    </row>
    <row r="939" ht="12.75" customHeight="1" s="55">
      <c r="B939" s="77" t="n"/>
      <c r="C939" s="77" t="n"/>
    </row>
    <row r="940" ht="12.75" customHeight="1" s="55">
      <c r="B940" s="77" t="n"/>
      <c r="C940" s="77" t="n"/>
    </row>
    <row r="941" ht="12.75" customHeight="1" s="55">
      <c r="B941" s="77" t="n"/>
      <c r="C941" s="77" t="n"/>
    </row>
    <row r="942" ht="12.75" customHeight="1" s="55">
      <c r="B942" s="77" t="n"/>
      <c r="C942" s="77" t="n"/>
    </row>
    <row r="943" ht="12.75" customHeight="1" s="55">
      <c r="B943" s="77" t="n"/>
      <c r="C943" s="77" t="n"/>
    </row>
    <row r="944" ht="12.75" customHeight="1" s="55">
      <c r="B944" s="77" t="n"/>
      <c r="C944" s="77" t="n"/>
    </row>
    <row r="945" ht="12.75" customHeight="1" s="55">
      <c r="B945" s="77" t="n"/>
      <c r="C945" s="77" t="n"/>
    </row>
    <row r="946" ht="12.75" customHeight="1" s="55">
      <c r="B946" s="77" t="n"/>
      <c r="C946" s="77" t="n"/>
    </row>
    <row r="947" ht="12.75" customHeight="1" s="55">
      <c r="B947" s="77" t="n"/>
      <c r="C947" s="77" t="n"/>
    </row>
    <row r="948" ht="12.75" customHeight="1" s="55">
      <c r="B948" s="77" t="n"/>
      <c r="C948" s="77" t="n"/>
    </row>
    <row r="949" ht="12.75" customHeight="1" s="55">
      <c r="B949" s="77" t="n"/>
      <c r="C949" s="77" t="n"/>
    </row>
    <row r="950" ht="12.75" customHeight="1" s="55">
      <c r="B950" s="77" t="n"/>
      <c r="C950" s="77" t="n"/>
    </row>
    <row r="951" ht="12.75" customHeight="1" s="55">
      <c r="B951" s="77" t="n"/>
      <c r="C951" s="77" t="n"/>
    </row>
    <row r="952" ht="12.75" customHeight="1" s="55">
      <c r="B952" s="77" t="n"/>
      <c r="C952" s="77" t="n"/>
    </row>
    <row r="953" ht="12.75" customHeight="1" s="55">
      <c r="B953" s="77" t="n"/>
      <c r="C953" s="77" t="n"/>
    </row>
    <row r="954" ht="12.75" customHeight="1" s="55">
      <c r="B954" s="77" t="n"/>
      <c r="C954" s="77" t="n"/>
    </row>
    <row r="955" ht="12.75" customHeight="1" s="55">
      <c r="B955" s="77" t="n"/>
      <c r="C955" s="77" t="n"/>
    </row>
    <row r="956" ht="12.75" customHeight="1" s="55">
      <c r="B956" s="77" t="n"/>
      <c r="C956" s="77" t="n"/>
    </row>
    <row r="957" ht="12.75" customHeight="1" s="55">
      <c r="B957" s="77" t="n"/>
      <c r="C957" s="77" t="n"/>
    </row>
    <row r="958" ht="12.75" customHeight="1" s="55">
      <c r="B958" s="77" t="n"/>
      <c r="C958" s="77" t="n"/>
    </row>
    <row r="959" ht="12.75" customHeight="1" s="55">
      <c r="B959" s="77" t="n"/>
      <c r="C959" s="77" t="n"/>
    </row>
    <row r="960" ht="12.75" customHeight="1" s="55">
      <c r="B960" s="77" t="n"/>
      <c r="C960" s="77" t="n"/>
    </row>
    <row r="961" ht="12.75" customHeight="1" s="55">
      <c r="B961" s="77" t="n"/>
      <c r="C961" s="77" t="n"/>
    </row>
    <row r="962" ht="12.75" customHeight="1" s="55">
      <c r="B962" s="77" t="n"/>
      <c r="C962" s="77" t="n"/>
    </row>
    <row r="963" ht="12.75" customHeight="1" s="55">
      <c r="B963" s="77" t="n"/>
      <c r="C963" s="77" t="n"/>
    </row>
    <row r="964" ht="12.75" customHeight="1" s="55">
      <c r="B964" s="77" t="n"/>
      <c r="C964" s="77" t="n"/>
    </row>
    <row r="965" ht="12.75" customHeight="1" s="55">
      <c r="B965" s="77" t="n"/>
      <c r="C965" s="77" t="n"/>
    </row>
    <row r="966" ht="12.75" customHeight="1" s="55">
      <c r="B966" s="77" t="n"/>
      <c r="C966" s="77" t="n"/>
    </row>
    <row r="967" ht="12.75" customHeight="1" s="55">
      <c r="B967" s="77" t="n"/>
      <c r="C967" s="77" t="n"/>
    </row>
    <row r="968" ht="12.75" customHeight="1" s="55">
      <c r="B968" s="77" t="n"/>
      <c r="C968" s="77" t="n"/>
    </row>
    <row r="969" ht="12.75" customHeight="1" s="55">
      <c r="B969" s="77" t="n"/>
      <c r="C969" s="77" t="n"/>
    </row>
    <row r="970" ht="12.75" customHeight="1" s="55">
      <c r="B970" s="77" t="n"/>
      <c r="C970" s="77" t="n"/>
    </row>
    <row r="971" ht="12.75" customHeight="1" s="55">
      <c r="B971" s="77" t="n"/>
      <c r="C971" s="77" t="n"/>
    </row>
    <row r="972" ht="12.75" customHeight="1" s="55">
      <c r="B972" s="77" t="n"/>
      <c r="C972" s="77" t="n"/>
    </row>
    <row r="973" ht="12.75" customHeight="1" s="55">
      <c r="B973" s="77" t="n"/>
      <c r="C973" s="77" t="n"/>
    </row>
    <row r="974" ht="12.75" customHeight="1" s="55">
      <c r="B974" s="77" t="n"/>
      <c r="C974" s="77" t="n"/>
    </row>
    <row r="975" ht="12.75" customHeight="1" s="55">
      <c r="B975" s="77" t="n"/>
      <c r="C975" s="77" t="n"/>
    </row>
    <row r="976" ht="12.75" customHeight="1" s="55">
      <c r="B976" s="77" t="n"/>
      <c r="C976" s="77" t="n"/>
    </row>
    <row r="977" ht="12.75" customHeight="1" s="55">
      <c r="B977" s="77" t="n"/>
      <c r="C977" s="77" t="n"/>
    </row>
    <row r="978" ht="12.75" customHeight="1" s="55">
      <c r="B978" s="77" t="n"/>
      <c r="C978" s="77" t="n"/>
    </row>
    <row r="979" ht="12.75" customHeight="1" s="55">
      <c r="B979" s="77" t="n"/>
      <c r="C979" s="77" t="n"/>
    </row>
    <row r="980" ht="12.75" customHeight="1" s="55">
      <c r="B980" s="77" t="n"/>
      <c r="C980" s="77" t="n"/>
    </row>
    <row r="981" ht="12.75" customHeight="1" s="55">
      <c r="B981" s="77" t="n"/>
      <c r="C981" s="77" t="n"/>
    </row>
    <row r="982" ht="12.75" customHeight="1" s="55">
      <c r="B982" s="77" t="n"/>
      <c r="C982" s="77" t="n"/>
    </row>
    <row r="983" ht="12.75" customHeight="1" s="55">
      <c r="B983" s="77" t="n"/>
      <c r="C983" s="77" t="n"/>
    </row>
    <row r="984" ht="12.75" customHeight="1" s="55">
      <c r="B984" s="77" t="n"/>
      <c r="C984" s="77" t="n"/>
    </row>
    <row r="985" ht="12.75" customHeight="1" s="55">
      <c r="B985" s="77" t="n"/>
      <c r="C985" s="77" t="n"/>
    </row>
    <row r="986" ht="12.75" customHeight="1" s="55">
      <c r="B986" s="77" t="n"/>
      <c r="C986" s="77" t="n"/>
    </row>
    <row r="987" ht="12.75" customHeight="1" s="55">
      <c r="B987" s="77" t="n"/>
      <c r="C987" s="77" t="n"/>
    </row>
    <row r="988" ht="12.75" customHeight="1" s="55">
      <c r="B988" s="77" t="n"/>
      <c r="C988" s="77" t="n"/>
    </row>
    <row r="989" ht="12.75" customHeight="1" s="55">
      <c r="B989" s="77" t="n"/>
      <c r="C989" s="77" t="n"/>
    </row>
    <row r="990" ht="12.75" customHeight="1" s="55">
      <c r="B990" s="77" t="n"/>
      <c r="C990" s="77" t="n"/>
    </row>
    <row r="991" ht="12.75" customHeight="1" s="55">
      <c r="B991" s="77" t="n"/>
      <c r="C991" s="77" t="n"/>
    </row>
    <row r="992" ht="12.75" customHeight="1" s="55">
      <c r="B992" s="77" t="n"/>
      <c r="C992" s="77" t="n"/>
    </row>
    <row r="993" ht="12.75" customHeight="1" s="55">
      <c r="B993" s="77" t="n"/>
      <c r="C993" s="77" t="n"/>
    </row>
    <row r="994" ht="12.75" customHeight="1" s="55">
      <c r="B994" s="77" t="n"/>
      <c r="C994" s="77" t="n"/>
    </row>
    <row r="995" ht="12.75" customHeight="1" s="55">
      <c r="B995" s="77" t="n"/>
      <c r="C995" s="77" t="n"/>
    </row>
    <row r="996" ht="12.75" customHeight="1" s="55">
      <c r="B996" s="77" t="n"/>
      <c r="C996" s="77" t="n"/>
    </row>
    <row r="997" ht="12.75" customHeight="1" s="55">
      <c r="B997" s="77" t="n"/>
      <c r="C997" s="77" t="n"/>
    </row>
    <row r="998" ht="12.75" customHeight="1" s="55">
      <c r="B998" s="77" t="n"/>
      <c r="C998" s="77" t="n"/>
    </row>
    <row r="999" ht="12.75" customHeight="1" s="55">
      <c r="B999" s="77" t="n"/>
      <c r="C999" s="77" t="n"/>
    </row>
    <row r="1000" ht="12.75" customHeight="1" s="55">
      <c r="B1000" s="77" t="n"/>
      <c r="C1000" s="77" t="n"/>
    </row>
  </sheetData>
  <mergeCells count="10">
    <mergeCell ref="A3:H3"/>
    <mergeCell ref="A8:A9"/>
    <mergeCell ref="E8:E9"/>
    <mergeCell ref="C8:C9"/>
    <mergeCell ref="G7:H7"/>
    <mergeCell ref="A2:H2"/>
    <mergeCell ref="D8:D9"/>
    <mergeCell ref="B8:B9"/>
    <mergeCell ref="A1:H1"/>
    <mergeCell ref="G8:H8"/>
  </mergeCells>
  <conditionalFormatting sqref="H10:H80">
    <cfRule type="cellIs" rank="0" priority="2" equalAverage="0" operator="lessThan" aboveAverage="0" dxfId="1" text="" percent="0" bottom="0">
      <formula>75</formula>
    </cfRule>
  </conditionalFormatting>
  <conditionalFormatting sqref="B10:B80">
    <cfRule type="expression" rank="0" priority="3" equalAverage="0" aboveAverage="0" dxfId="0" text="" percent="0" bottom="0">
      <formula>AND(COUNTIF($B$10:$B$19,B10)+COUNTIF($B$21:$B$59,B10)&gt;1,NOT(ISBLANK(B10)))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8" customWidth="1" style="54" min="1" max="1"/>
    <col width="25" customWidth="1" style="54" min="2" max="2"/>
    <col width="29.38" customWidth="1" style="54" min="3" max="3"/>
    <col width="8.880000000000001" customWidth="1" style="54" min="4" max="4"/>
    <col width="8" customWidth="1" style="54" min="5" max="26"/>
  </cols>
  <sheetData>
    <row r="1" ht="15.75" customHeight="1" s="55">
      <c r="A1" s="56" t="inlineStr">
        <is>
          <t>SSN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7" t="inlineStr">
        <is>
          <t>NAME LIST</t>
        </is>
      </c>
    </row>
    <row r="4" ht="15.75" customHeight="1" s="55">
      <c r="A4" s="58" t="inlineStr">
        <is>
          <t>Class &amp; Section : VI SEM  IT B</t>
        </is>
      </c>
      <c r="B4" s="58" t="n"/>
      <c r="C4" s="58" t="n"/>
    </row>
    <row r="5" ht="15.75" customHeight="1" s="55">
      <c r="A5" s="58" t="inlineStr">
        <is>
          <t>Academic Year: 2014-2015</t>
        </is>
      </c>
      <c r="B5" s="58" t="n"/>
      <c r="C5" s="60" t="n"/>
      <c r="D5" s="58" t="n"/>
    </row>
    <row r="6" ht="15.75" customHeight="1" s="55">
      <c r="A6" s="58" t="n"/>
      <c r="B6" s="58" t="n"/>
      <c r="C6" s="60" t="inlineStr">
        <is>
          <t>Batch: 2012-2016</t>
        </is>
      </c>
      <c r="D6" s="58" t="n"/>
    </row>
    <row r="7" ht="12.75" customHeight="1" s="55">
      <c r="A7" s="106" t="inlineStr">
        <is>
          <t>Sub Code &amp; Sub Name :</t>
        </is>
      </c>
    </row>
    <row r="8" ht="12.75" customHeight="1" s="55">
      <c r="A8" s="106" t="inlineStr">
        <is>
          <t>Staff Name :</t>
        </is>
      </c>
    </row>
    <row r="9" ht="12.75" customHeight="1" s="55"/>
    <row r="10" ht="15.75" customHeight="1" s="55">
      <c r="A10" s="107" t="inlineStr">
        <is>
          <t>SL. NO</t>
        </is>
      </c>
      <c r="B10" s="108" t="inlineStr">
        <is>
          <t>REG. NO.</t>
        </is>
      </c>
      <c r="C10" s="107" t="inlineStr">
        <is>
          <t>NAME</t>
        </is>
      </c>
    </row>
    <row r="11" ht="15.75" customHeight="1" s="55">
      <c r="A11" s="109" t="n">
        <v>1</v>
      </c>
      <c r="B11" s="109" t="n">
        <v>312212205065</v>
      </c>
      <c r="C11" s="110" t="inlineStr">
        <is>
          <t>NEIL S MANOJ</t>
        </is>
      </c>
    </row>
    <row r="12" ht="15.75" customHeight="1" s="55">
      <c r="A12" s="109" t="n">
        <v>2</v>
      </c>
      <c r="B12" s="109" t="n">
        <v>312212205066</v>
      </c>
      <c r="C12" s="110" t="inlineStr">
        <is>
          <t>NITHISH S</t>
        </is>
      </c>
    </row>
    <row r="13" ht="15.75" customHeight="1" s="55">
      <c r="A13" s="109" t="n">
        <v>3</v>
      </c>
      <c r="B13" s="109" t="n">
        <v>312212205071</v>
      </c>
      <c r="C13" s="110" t="inlineStr">
        <is>
          <t>POOJETHA DEVI S</t>
        </is>
      </c>
    </row>
    <row r="14" ht="15.75" customHeight="1" s="55">
      <c r="A14" s="109" t="n">
        <v>4</v>
      </c>
      <c r="B14" s="109" t="n">
        <v>312212205073</v>
      </c>
      <c r="C14" s="110" t="inlineStr">
        <is>
          <t>PRADEEBA M</t>
        </is>
      </c>
    </row>
    <row r="15" ht="15.75" customHeight="1" s="55">
      <c r="A15" s="109" t="n">
        <v>5</v>
      </c>
      <c r="B15" s="109" t="n">
        <v>312212205078</v>
      </c>
      <c r="C15" s="110" t="inlineStr">
        <is>
          <t>RAGAVI K</t>
        </is>
      </c>
    </row>
    <row r="16" ht="15.75" customHeight="1" s="55">
      <c r="A16" s="109" t="n">
        <v>6</v>
      </c>
      <c r="B16" s="109" t="n">
        <v>312212205087</v>
      </c>
      <c r="C16" s="110" t="inlineStr">
        <is>
          <t>SANDEEP JOEL A</t>
        </is>
      </c>
    </row>
    <row r="17" ht="15.75" customHeight="1" s="55">
      <c r="A17" s="109" t="n">
        <v>7</v>
      </c>
      <c r="B17" s="109" t="n">
        <v>312212205095</v>
      </c>
      <c r="C17" s="110" t="inlineStr">
        <is>
          <t>SOUMYA A</t>
        </is>
      </c>
    </row>
    <row r="18" ht="15.75" customHeight="1" s="55">
      <c r="A18" s="109" t="n">
        <v>8</v>
      </c>
      <c r="B18" s="109" t="n">
        <v>312212205102</v>
      </c>
      <c r="C18" s="110" t="inlineStr">
        <is>
          <t>SUSHMITHA S</t>
        </is>
      </c>
    </row>
    <row r="19" ht="15.75" customHeight="1" s="55">
      <c r="A19" s="109" t="n">
        <v>9</v>
      </c>
      <c r="B19" s="109" t="n">
        <v>312212205103</v>
      </c>
      <c r="C19" s="110" t="inlineStr">
        <is>
          <t>SUSMA V</t>
        </is>
      </c>
    </row>
    <row r="20" ht="15.75" customHeight="1" s="55">
      <c r="A20" s="109" t="n">
        <v>10</v>
      </c>
      <c r="B20" s="109" t="n">
        <v>312212205111</v>
      </c>
      <c r="C20" s="110" t="inlineStr">
        <is>
          <t>VARALAKSHMI V</t>
        </is>
      </c>
    </row>
    <row r="21" ht="15.75" customHeight="1" s="55">
      <c r="A21" s="109" t="n">
        <v>11</v>
      </c>
      <c r="B21" s="109" t="n">
        <v>312212205115</v>
      </c>
      <c r="C21" s="110" t="inlineStr">
        <is>
          <t>VIDHYALAKSHMI K</t>
        </is>
      </c>
    </row>
    <row r="22" ht="15.75" customHeight="1" s="55">
      <c r="A22" s="109" t="n">
        <v>12</v>
      </c>
      <c r="B22" s="109" t="n">
        <v>312212205116</v>
      </c>
      <c r="C22" s="110" t="inlineStr">
        <is>
          <t>VIGNESH R</t>
        </is>
      </c>
    </row>
    <row r="23" ht="15.75" customHeight="1" s="55">
      <c r="A23" s="109" t="n">
        <v>13</v>
      </c>
      <c r="B23" s="109" t="n">
        <v>312212205122</v>
      </c>
      <c r="C23" s="110" t="inlineStr">
        <is>
          <t>VINITHA N</t>
        </is>
      </c>
    </row>
    <row r="24" ht="15.75" customHeight="1" s="55">
      <c r="A24" s="109" t="n">
        <v>14</v>
      </c>
      <c r="B24" s="109" t="n">
        <v>312212205123</v>
      </c>
      <c r="C24" s="110" t="inlineStr">
        <is>
          <t>VINUSHA V</t>
        </is>
      </c>
    </row>
    <row r="25" ht="15.75" customHeight="1" s="55">
      <c r="A25" s="109" t="n">
        <v>15</v>
      </c>
      <c r="B25" s="109" t="n">
        <v>312212205124</v>
      </c>
      <c r="C25" s="110" t="inlineStr">
        <is>
          <t>VISHNU BHARATHI B</t>
        </is>
      </c>
    </row>
    <row r="26" ht="15.75" customHeight="1" s="55">
      <c r="A26" s="109" t="n">
        <v>16</v>
      </c>
      <c r="B26" s="109" t="n">
        <v>312212205310</v>
      </c>
      <c r="C26" s="110" t="inlineStr">
        <is>
          <t>NAMACHIVAYAM S</t>
        </is>
      </c>
    </row>
    <row r="27" ht="15.75" customHeight="1" s="55">
      <c r="A27" s="109" t="n">
        <v>17</v>
      </c>
      <c r="B27" s="109" t="n">
        <v>312212205312</v>
      </c>
      <c r="C27" s="110" t="inlineStr">
        <is>
          <t>PRASANTH R</t>
        </is>
      </c>
    </row>
    <row r="28" ht="15.75" customHeight="1" s="55">
      <c r="A28" s="109" t="n">
        <v>18</v>
      </c>
      <c r="B28" s="109" t="n">
        <v>312212205313</v>
      </c>
      <c r="C28" s="110" t="inlineStr">
        <is>
          <t>RAMACHANDRAN R</t>
        </is>
      </c>
    </row>
    <row r="29" ht="15.75" customHeight="1" s="55">
      <c r="A29" s="109" t="n">
        <v>19</v>
      </c>
      <c r="B29" s="109" t="n">
        <v>312212205314</v>
      </c>
      <c r="C29" s="110" t="inlineStr">
        <is>
          <t>RAZIYA KOUSER S  T</t>
        </is>
      </c>
    </row>
    <row r="30" ht="15.75" customHeight="1" s="55">
      <c r="A30" s="109" t="n">
        <v>20</v>
      </c>
      <c r="B30" s="109" t="n">
        <v>312212205315</v>
      </c>
      <c r="C30" s="110" t="inlineStr">
        <is>
          <t>RIZWANULLAH KHAN N</t>
        </is>
      </c>
    </row>
    <row r="31" ht="15.75" customHeight="1" s="55">
      <c r="A31" s="109" t="n">
        <v>21</v>
      </c>
      <c r="B31" s="109" t="n">
        <v>312212205317</v>
      </c>
      <c r="C31" s="110" t="inlineStr">
        <is>
          <t>SASI PRIYA K</t>
        </is>
      </c>
    </row>
    <row r="32" ht="15.75" customHeight="1" s="55">
      <c r="A32" s="109" t="n">
        <v>22</v>
      </c>
      <c r="B32" s="109" t="n">
        <v>312212205318</v>
      </c>
      <c r="C32" s="110" t="inlineStr">
        <is>
          <t>VISWESH  V</t>
        </is>
      </c>
    </row>
    <row r="33" ht="12.75" customHeight="1" s="55"/>
    <row r="34" ht="12.75" customHeight="1" s="55"/>
    <row r="35" ht="12.75" customHeight="1" s="55"/>
    <row r="36" ht="12.75" customHeight="1" s="55"/>
    <row r="37" ht="12.75" customHeight="1" s="55"/>
    <row r="38" ht="12.75" customHeight="1" s="55"/>
    <row r="39" ht="12.75" customHeight="1" s="55"/>
    <row r="40" ht="12.75" customHeight="1" s="55"/>
    <row r="41" ht="12.75" customHeight="1" s="55"/>
    <row r="42" ht="12.75" customHeight="1" s="55"/>
    <row r="43" ht="12.75" customHeight="1" s="55"/>
    <row r="44" ht="12.75" customHeight="1" s="55"/>
    <row r="45" ht="12.75" customHeight="1" s="55"/>
    <row r="46" ht="12.75" customHeight="1" s="55"/>
    <row r="47" ht="12.75" customHeight="1" s="55"/>
    <row r="48" ht="12.75" customHeight="1" s="55"/>
    <row r="49" ht="12.75" customHeight="1" s="55"/>
    <row r="50" ht="12.75" customHeight="1" s="55"/>
    <row r="51" ht="12.75" customHeight="1" s="55"/>
    <row r="52" ht="12.75" customHeight="1" s="55"/>
    <row r="53" ht="12.75" customHeight="1" s="55"/>
    <row r="54" ht="12.75" customHeight="1" s="55"/>
    <row r="55" ht="12.75" customHeight="1" s="55"/>
    <row r="56" ht="12.75" customHeight="1" s="55"/>
    <row r="57" ht="12.75" customHeight="1" s="55"/>
    <row r="58" ht="12.75" customHeight="1" s="55"/>
    <row r="59" ht="12.75" customHeight="1" s="55"/>
    <row r="60" ht="12.75" customHeight="1" s="55"/>
    <row r="61" ht="12.75" customHeight="1" s="55"/>
    <row r="62" ht="12.75" customHeight="1" s="55"/>
    <row r="63" ht="12.75" customHeight="1" s="55"/>
    <row r="64" ht="12.75" customHeight="1" s="55"/>
    <row r="65" ht="12.75" customHeight="1" s="55"/>
    <row r="66" ht="12.75" customHeight="1" s="55"/>
    <row r="67" ht="12.75" customHeight="1" s="55"/>
    <row r="68" ht="12.75" customHeight="1" s="55"/>
    <row r="69" ht="12.75" customHeight="1" s="55"/>
    <row r="70" ht="12.75" customHeight="1" s="55"/>
    <row r="71" ht="12.75" customHeight="1" s="55"/>
    <row r="72" ht="12.75" customHeight="1" s="55"/>
    <row r="73" ht="12.75" customHeight="1" s="55"/>
    <row r="74" ht="12.75" customHeight="1" s="55"/>
    <row r="75" ht="12.75" customHeight="1" s="55"/>
    <row r="76" ht="12.75" customHeight="1" s="55"/>
    <row r="77" ht="12.75" customHeight="1" s="55"/>
    <row r="78" ht="12.75" customHeight="1" s="55"/>
    <row r="79" ht="12.75" customHeight="1" s="55"/>
    <row r="80" ht="12.75" customHeight="1" s="55"/>
    <row r="81" ht="12.75" customHeight="1" s="55"/>
    <row r="82" ht="12.75" customHeight="1" s="55"/>
    <row r="83" ht="12.75" customHeight="1" s="55"/>
    <row r="84" ht="12.75" customHeight="1" s="55"/>
    <row r="85" ht="12.75" customHeight="1" s="55"/>
    <row r="86" ht="12.75" customHeight="1" s="55"/>
    <row r="87" ht="12.75" customHeight="1" s="55"/>
    <row r="88" ht="12.75" customHeight="1" s="55"/>
    <row r="89" ht="12.75" customHeight="1" s="55"/>
    <row r="90" ht="12.75" customHeight="1" s="55"/>
    <row r="91" ht="12.75" customHeight="1" s="55"/>
    <row r="92" ht="12.75" customHeight="1" s="55"/>
    <row r="93" ht="12.75" customHeight="1" s="55"/>
    <row r="94" ht="12.75" customHeight="1" s="55"/>
    <row r="95" ht="12.75" customHeight="1" s="55"/>
    <row r="96" ht="12.75" customHeight="1" s="55"/>
    <row r="97" ht="12.75" customHeight="1" s="55"/>
    <row r="98" ht="12.75" customHeight="1" s="55"/>
    <row r="99" ht="12.75" customHeight="1" s="55"/>
    <row r="100" ht="12.75" customHeight="1" s="55"/>
    <row r="101" ht="12.75" customHeight="1" s="55"/>
    <row r="102" ht="12.75" customHeight="1" s="55"/>
    <row r="103" ht="12.75" customHeight="1" s="55"/>
    <row r="104" ht="12.75" customHeight="1" s="55"/>
    <row r="105" ht="12.75" customHeight="1" s="55"/>
    <row r="106" ht="12.75" customHeight="1" s="55"/>
    <row r="107" ht="12.75" customHeight="1" s="55"/>
    <row r="108" ht="12.75" customHeight="1" s="55"/>
    <row r="109" ht="12.75" customHeight="1" s="55"/>
    <row r="110" ht="12.75" customHeight="1" s="55"/>
    <row r="111" ht="12.75" customHeight="1" s="55"/>
    <row r="112" ht="12.75" customHeight="1" s="55"/>
    <row r="113" ht="12.75" customHeight="1" s="55"/>
    <row r="114" ht="12.75" customHeight="1" s="55"/>
    <row r="115" ht="12.75" customHeight="1" s="55"/>
    <row r="116" ht="12.75" customHeight="1" s="55"/>
    <row r="117" ht="12.75" customHeight="1" s="55"/>
    <row r="118" ht="12.75" customHeight="1" s="55"/>
    <row r="119" ht="12.75" customHeight="1" s="55"/>
    <row r="120" ht="12.75" customHeight="1" s="55"/>
    <row r="121" ht="12.75" customHeight="1" s="55"/>
    <row r="122" ht="12.75" customHeight="1" s="55"/>
    <row r="123" ht="12.75" customHeight="1" s="55"/>
    <row r="124" ht="12.75" customHeight="1" s="55"/>
    <row r="125" ht="12.75" customHeight="1" s="55"/>
    <row r="126" ht="12.75" customHeight="1" s="55"/>
    <row r="127" ht="12.75" customHeight="1" s="55"/>
    <row r="128" ht="12.75" customHeight="1" s="55"/>
    <row r="129" ht="12.75" customHeight="1" s="55"/>
    <row r="130" ht="12.75" customHeight="1" s="55"/>
    <row r="131" ht="12.75" customHeight="1" s="55"/>
    <row r="132" ht="12.75" customHeight="1" s="55"/>
    <row r="133" ht="12.75" customHeight="1" s="55"/>
    <row r="134" ht="12.75" customHeight="1" s="55"/>
    <row r="135" ht="12.75" customHeight="1" s="55"/>
    <row r="136" ht="12.75" customHeight="1" s="55"/>
    <row r="137" ht="12.75" customHeight="1" s="55"/>
    <row r="138" ht="12.75" customHeight="1" s="55"/>
    <row r="139" ht="12.75" customHeight="1" s="55"/>
    <row r="140" ht="12.75" customHeight="1" s="55"/>
    <row r="141" ht="12.75" customHeight="1" s="55"/>
    <row r="142" ht="12.75" customHeight="1" s="55"/>
    <row r="143" ht="12.75" customHeight="1" s="55"/>
    <row r="144" ht="12.75" customHeight="1" s="55"/>
    <row r="145" ht="12.75" customHeight="1" s="55"/>
    <row r="146" ht="12.75" customHeight="1" s="55"/>
    <row r="147" ht="12.75" customHeight="1" s="55"/>
    <row r="148" ht="12.75" customHeight="1" s="55"/>
    <row r="149" ht="12.75" customHeight="1" s="55"/>
    <row r="150" ht="12.75" customHeight="1" s="55"/>
    <row r="151" ht="12.75" customHeight="1" s="55"/>
    <row r="152" ht="12.75" customHeight="1" s="55"/>
    <row r="153" ht="12.75" customHeight="1" s="55"/>
    <row r="154" ht="12.75" customHeight="1" s="55"/>
    <row r="155" ht="12.75" customHeight="1" s="55"/>
    <row r="156" ht="12.75" customHeight="1" s="55"/>
    <row r="157" ht="12.75" customHeight="1" s="55"/>
    <row r="158" ht="12.75" customHeight="1" s="55"/>
    <row r="159" ht="12.75" customHeight="1" s="55"/>
    <row r="160" ht="12.75" customHeight="1" s="55"/>
    <row r="161" ht="12.75" customHeight="1" s="55"/>
    <row r="162" ht="12.75" customHeight="1" s="55"/>
    <row r="163" ht="12.75" customHeight="1" s="55"/>
    <row r="164" ht="12.75" customHeight="1" s="55"/>
    <row r="165" ht="12.75" customHeight="1" s="55"/>
    <row r="166" ht="12.75" customHeight="1" s="55"/>
    <row r="167" ht="12.75" customHeight="1" s="55"/>
    <row r="168" ht="12.75" customHeight="1" s="55"/>
    <row r="169" ht="12.75" customHeight="1" s="55"/>
    <row r="170" ht="12.75" customHeight="1" s="55"/>
    <row r="171" ht="12.75" customHeight="1" s="55"/>
    <row r="172" ht="12.75" customHeight="1" s="55"/>
    <row r="173" ht="12.75" customHeight="1" s="55"/>
    <row r="174" ht="12.75" customHeight="1" s="55"/>
    <row r="175" ht="12.75" customHeight="1" s="55"/>
    <row r="176" ht="12.75" customHeight="1" s="55"/>
    <row r="177" ht="12.75" customHeight="1" s="55"/>
    <row r="178" ht="12.75" customHeight="1" s="55"/>
    <row r="179" ht="12.75" customHeight="1" s="55"/>
    <row r="180" ht="12.75" customHeight="1" s="55"/>
    <row r="181" ht="12.75" customHeight="1" s="55"/>
    <row r="182" ht="12.75" customHeight="1" s="55"/>
    <row r="183" ht="12.75" customHeight="1" s="55"/>
    <row r="184" ht="12.75" customHeight="1" s="55"/>
    <row r="185" ht="12.75" customHeight="1" s="55"/>
    <row r="186" ht="12.75" customHeight="1" s="55"/>
    <row r="187" ht="12.75" customHeight="1" s="55"/>
    <row r="188" ht="12.75" customHeight="1" s="55"/>
    <row r="189" ht="12.75" customHeight="1" s="55"/>
    <row r="190" ht="12.75" customHeight="1" s="55"/>
    <row r="191" ht="12.75" customHeight="1" s="55"/>
    <row r="192" ht="12.75" customHeight="1" s="55"/>
    <row r="193" ht="12.75" customHeight="1" s="55"/>
    <row r="194" ht="12.75" customHeight="1" s="55"/>
    <row r="195" ht="12.75" customHeight="1" s="55"/>
    <row r="196" ht="12.75" customHeight="1" s="55"/>
    <row r="197" ht="12.75" customHeight="1" s="55"/>
    <row r="198" ht="12.75" customHeight="1" s="55"/>
    <row r="199" ht="12.75" customHeight="1" s="55"/>
    <row r="200" ht="12.75" customHeight="1" s="55"/>
    <row r="201" ht="12.75" customHeight="1" s="55"/>
    <row r="202" ht="12.75" customHeight="1" s="55"/>
    <row r="203" ht="12.75" customHeight="1" s="55"/>
    <row r="204" ht="12.75" customHeight="1" s="55"/>
    <row r="205" ht="12.75" customHeight="1" s="55"/>
    <row r="206" ht="12.75" customHeight="1" s="55"/>
    <row r="207" ht="12.75" customHeight="1" s="55"/>
    <row r="208" ht="12.75" customHeight="1" s="55"/>
    <row r="209" ht="12.75" customHeight="1" s="55"/>
    <row r="210" ht="12.75" customHeight="1" s="55"/>
    <row r="211" ht="12.75" customHeight="1" s="55"/>
    <row r="212" ht="12.75" customHeight="1" s="55"/>
    <row r="213" ht="12.75" customHeight="1" s="55"/>
    <row r="214" ht="12.75" customHeight="1" s="55"/>
    <row r="215" ht="12.75" customHeight="1" s="55"/>
    <row r="216" ht="12.75" customHeight="1" s="55"/>
    <row r="217" ht="12.75" customHeight="1" s="55"/>
    <row r="218" ht="12.75" customHeight="1" s="55"/>
    <row r="219" ht="12.75" customHeight="1" s="55"/>
    <row r="220" ht="12.75" customHeight="1" s="55"/>
    <row r="221" ht="12.75" customHeight="1" s="55"/>
    <row r="222" ht="12.75" customHeight="1" s="55"/>
    <row r="223" ht="12.75" customHeight="1" s="55"/>
    <row r="224" ht="12.75" customHeight="1" s="55"/>
    <row r="225" ht="12.75" customHeight="1" s="55"/>
    <row r="226" ht="12.75" customHeight="1" s="55"/>
    <row r="227" ht="12.75" customHeight="1" s="55"/>
    <row r="228" ht="12.75" customHeight="1" s="55"/>
    <row r="229" ht="12.75" customHeight="1" s="55"/>
    <row r="230" ht="12.75" customHeight="1" s="55"/>
    <row r="231" ht="12.75" customHeight="1" s="55"/>
    <row r="232" ht="12.75" customHeight="1" s="55"/>
    <row r="233" ht="12.75" customHeight="1" s="55"/>
    <row r="234" ht="12.75" customHeight="1" s="55"/>
    <row r="235" ht="12.75" customHeight="1" s="55"/>
    <row r="236" ht="12.75" customHeight="1" s="55"/>
    <row r="237" ht="12.75" customHeight="1" s="55"/>
    <row r="238" ht="12.75" customHeight="1" s="55"/>
    <row r="239" ht="12.75" customHeight="1" s="55"/>
    <row r="240" ht="12.75" customHeight="1" s="55"/>
    <row r="241" ht="12.75" customHeight="1" s="55"/>
    <row r="242" ht="12.75" customHeight="1" s="55"/>
    <row r="243" ht="12.75" customHeight="1" s="55"/>
    <row r="244" ht="12.75" customHeight="1" s="55"/>
    <row r="245" ht="12.75" customHeight="1" s="55"/>
    <row r="246" ht="12.75" customHeight="1" s="55"/>
    <row r="247" ht="12.75" customHeight="1" s="55"/>
    <row r="248" ht="12.75" customHeight="1" s="55"/>
    <row r="249" ht="12.75" customHeight="1" s="55"/>
    <row r="250" ht="12.75" customHeight="1" s="55"/>
    <row r="251" ht="12.75" customHeight="1" s="55"/>
    <row r="252" ht="12.75" customHeight="1" s="55"/>
    <row r="253" ht="12.75" customHeight="1" s="55"/>
    <row r="254" ht="12.75" customHeight="1" s="55"/>
    <row r="255" ht="12.75" customHeight="1" s="55"/>
    <row r="256" ht="12.75" customHeight="1" s="55"/>
    <row r="257" ht="12.75" customHeight="1" s="55"/>
    <row r="258" ht="12.75" customHeight="1" s="55"/>
    <row r="259" ht="12.75" customHeight="1" s="55"/>
    <row r="260" ht="12.75" customHeight="1" s="55"/>
    <row r="261" ht="12.75" customHeight="1" s="55"/>
    <row r="262" ht="12.75" customHeight="1" s="55"/>
    <row r="263" ht="12.75" customHeight="1" s="55"/>
    <row r="264" ht="12.75" customHeight="1" s="55"/>
    <row r="265" ht="12.75" customHeight="1" s="55"/>
    <row r="266" ht="12.75" customHeight="1" s="55"/>
    <row r="267" ht="12.75" customHeight="1" s="55"/>
    <row r="268" ht="12.75" customHeight="1" s="55"/>
    <row r="269" ht="12.75" customHeight="1" s="55"/>
    <row r="270" ht="12.75" customHeight="1" s="55"/>
    <row r="271" ht="12.75" customHeight="1" s="55"/>
    <row r="272" ht="12.75" customHeight="1" s="55"/>
    <row r="273" ht="12.75" customHeight="1" s="55"/>
    <row r="274" ht="12.75" customHeight="1" s="55"/>
    <row r="275" ht="12.75" customHeight="1" s="55"/>
    <row r="276" ht="12.75" customHeight="1" s="55"/>
    <row r="277" ht="12.75" customHeight="1" s="55"/>
    <row r="278" ht="12.75" customHeight="1" s="55"/>
    <row r="279" ht="12.75" customHeight="1" s="55"/>
    <row r="280" ht="12.75" customHeight="1" s="55"/>
    <row r="281" ht="12.75" customHeight="1" s="55"/>
    <row r="282" ht="12.75" customHeight="1" s="55"/>
    <row r="283" ht="12.75" customHeight="1" s="55"/>
    <row r="284" ht="12.75" customHeight="1" s="55"/>
    <row r="285" ht="12.75" customHeight="1" s="55"/>
    <row r="286" ht="12.75" customHeight="1" s="55"/>
    <row r="287" ht="12.75" customHeight="1" s="55"/>
    <row r="288" ht="12.75" customHeight="1" s="55"/>
    <row r="289" ht="12.75" customHeight="1" s="55"/>
    <row r="290" ht="12.75" customHeight="1" s="55"/>
    <row r="291" ht="12.75" customHeight="1" s="55"/>
    <row r="292" ht="12.75" customHeight="1" s="55"/>
    <row r="293" ht="12.75" customHeight="1" s="55"/>
    <row r="294" ht="12.75" customHeight="1" s="55"/>
    <row r="295" ht="12.75" customHeight="1" s="55"/>
    <row r="296" ht="12.75" customHeight="1" s="55"/>
    <row r="297" ht="12.75" customHeight="1" s="55"/>
    <row r="298" ht="12.75" customHeight="1" s="55"/>
    <row r="299" ht="12.75" customHeight="1" s="55"/>
    <row r="300" ht="12.75" customHeight="1" s="55"/>
    <row r="301" ht="12.75" customHeight="1" s="55"/>
    <row r="302" ht="12.75" customHeight="1" s="55"/>
    <row r="303" ht="12.75" customHeight="1" s="55"/>
    <row r="304" ht="12.75" customHeight="1" s="55"/>
    <row r="305" ht="12.75" customHeight="1" s="55"/>
    <row r="306" ht="12.75" customHeight="1" s="55"/>
    <row r="307" ht="12.75" customHeight="1" s="55"/>
    <row r="308" ht="12.75" customHeight="1" s="55"/>
    <row r="309" ht="12.75" customHeight="1" s="55"/>
    <row r="310" ht="12.75" customHeight="1" s="55"/>
    <row r="311" ht="12.75" customHeight="1" s="55"/>
    <row r="312" ht="12.75" customHeight="1" s="55"/>
    <row r="313" ht="12.75" customHeight="1" s="55"/>
    <row r="314" ht="12.75" customHeight="1" s="55"/>
    <row r="315" ht="12.75" customHeight="1" s="55"/>
    <row r="316" ht="12.75" customHeight="1" s="55"/>
    <row r="317" ht="12.75" customHeight="1" s="55"/>
    <row r="318" ht="12.75" customHeight="1" s="55"/>
    <row r="319" ht="12.75" customHeight="1" s="55"/>
    <row r="320" ht="12.75" customHeight="1" s="55"/>
    <row r="321" ht="12.75" customHeight="1" s="55"/>
    <row r="322" ht="12.75" customHeight="1" s="55"/>
    <row r="323" ht="12.75" customHeight="1" s="55"/>
    <row r="324" ht="12.75" customHeight="1" s="55"/>
    <row r="325" ht="12.75" customHeight="1" s="55"/>
    <row r="326" ht="12.75" customHeight="1" s="55"/>
    <row r="327" ht="12.75" customHeight="1" s="55"/>
    <row r="328" ht="12.75" customHeight="1" s="55"/>
    <row r="329" ht="12.75" customHeight="1" s="55"/>
    <row r="330" ht="12.75" customHeight="1" s="55"/>
    <row r="331" ht="12.75" customHeight="1" s="55"/>
    <row r="332" ht="12.75" customHeight="1" s="55"/>
    <row r="333" ht="12.75" customHeight="1" s="55"/>
    <row r="334" ht="12.75" customHeight="1" s="55"/>
    <row r="335" ht="12.75" customHeight="1" s="55"/>
    <row r="336" ht="12.75" customHeight="1" s="55"/>
    <row r="337" ht="12.75" customHeight="1" s="55"/>
    <row r="338" ht="12.75" customHeight="1" s="55"/>
    <row r="339" ht="12.75" customHeight="1" s="55"/>
    <row r="340" ht="12.75" customHeight="1" s="55"/>
    <row r="341" ht="12.75" customHeight="1" s="55"/>
    <row r="342" ht="12.75" customHeight="1" s="55"/>
    <row r="343" ht="12.75" customHeight="1" s="55"/>
    <row r="344" ht="12.75" customHeight="1" s="55"/>
    <row r="345" ht="12.75" customHeight="1" s="55"/>
    <row r="346" ht="12.75" customHeight="1" s="55"/>
    <row r="347" ht="12.75" customHeight="1" s="55"/>
    <row r="348" ht="12.75" customHeight="1" s="55"/>
    <row r="349" ht="12.75" customHeight="1" s="55"/>
    <row r="350" ht="12.75" customHeight="1" s="55"/>
    <row r="351" ht="12.75" customHeight="1" s="55"/>
    <row r="352" ht="12.75" customHeight="1" s="55"/>
    <row r="353" ht="12.75" customHeight="1" s="55"/>
    <row r="354" ht="12.75" customHeight="1" s="55"/>
    <row r="355" ht="12.75" customHeight="1" s="55"/>
    <row r="356" ht="12.75" customHeight="1" s="55"/>
    <row r="357" ht="12.75" customHeight="1" s="55"/>
    <row r="358" ht="12.75" customHeight="1" s="55"/>
    <row r="359" ht="12.75" customHeight="1" s="55"/>
    <row r="360" ht="12.75" customHeight="1" s="55"/>
    <row r="361" ht="12.75" customHeight="1" s="55"/>
    <row r="362" ht="12.75" customHeight="1" s="55"/>
    <row r="363" ht="12.75" customHeight="1" s="55"/>
    <row r="364" ht="12.75" customHeight="1" s="55"/>
    <row r="365" ht="12.75" customHeight="1" s="55"/>
    <row r="366" ht="12.75" customHeight="1" s="55"/>
    <row r="367" ht="12.75" customHeight="1" s="55"/>
    <row r="368" ht="12.75" customHeight="1" s="55"/>
    <row r="369" ht="12.75" customHeight="1" s="55"/>
    <row r="370" ht="12.75" customHeight="1" s="55"/>
    <row r="371" ht="12.75" customHeight="1" s="55"/>
    <row r="372" ht="12.75" customHeight="1" s="55"/>
    <row r="373" ht="12.75" customHeight="1" s="55"/>
    <row r="374" ht="12.75" customHeight="1" s="55"/>
    <row r="375" ht="12.75" customHeight="1" s="55"/>
    <row r="376" ht="12.75" customHeight="1" s="55"/>
    <row r="377" ht="12.75" customHeight="1" s="55"/>
    <row r="378" ht="12.75" customHeight="1" s="55"/>
    <row r="379" ht="12.75" customHeight="1" s="55"/>
    <row r="380" ht="12.75" customHeight="1" s="55"/>
    <row r="381" ht="12.75" customHeight="1" s="55"/>
    <row r="382" ht="12.75" customHeight="1" s="55"/>
    <row r="383" ht="12.75" customHeight="1" s="55"/>
    <row r="384" ht="12.75" customHeight="1" s="55"/>
    <row r="385" ht="12.75" customHeight="1" s="55"/>
    <row r="386" ht="12.75" customHeight="1" s="55"/>
    <row r="387" ht="12.75" customHeight="1" s="55"/>
    <row r="388" ht="12.75" customHeight="1" s="55"/>
    <row r="389" ht="12.75" customHeight="1" s="55"/>
    <row r="390" ht="12.75" customHeight="1" s="55"/>
    <row r="391" ht="12.75" customHeight="1" s="55"/>
    <row r="392" ht="12.75" customHeight="1" s="55"/>
    <row r="393" ht="12.75" customHeight="1" s="55"/>
    <row r="394" ht="12.75" customHeight="1" s="55"/>
    <row r="395" ht="12.75" customHeight="1" s="55"/>
    <row r="396" ht="12.75" customHeight="1" s="55"/>
    <row r="397" ht="12.75" customHeight="1" s="55"/>
    <row r="398" ht="12.75" customHeight="1" s="55"/>
    <row r="399" ht="12.75" customHeight="1" s="55"/>
    <row r="400" ht="12.75" customHeight="1" s="55"/>
    <row r="401" ht="12.75" customHeight="1" s="55"/>
    <row r="402" ht="12.75" customHeight="1" s="55"/>
    <row r="403" ht="12.75" customHeight="1" s="55"/>
    <row r="404" ht="12.75" customHeight="1" s="55"/>
    <row r="405" ht="12.75" customHeight="1" s="55"/>
    <row r="406" ht="12.75" customHeight="1" s="55"/>
    <row r="407" ht="12.75" customHeight="1" s="55"/>
    <row r="408" ht="12.75" customHeight="1" s="55"/>
    <row r="409" ht="12.75" customHeight="1" s="55"/>
    <row r="410" ht="12.75" customHeight="1" s="55"/>
    <row r="411" ht="12.75" customHeight="1" s="55"/>
    <row r="412" ht="12.75" customHeight="1" s="55"/>
    <row r="413" ht="12.75" customHeight="1" s="55"/>
    <row r="414" ht="12.75" customHeight="1" s="55"/>
    <row r="415" ht="12.75" customHeight="1" s="55"/>
    <row r="416" ht="12.75" customHeight="1" s="55"/>
    <row r="417" ht="12.75" customHeight="1" s="55"/>
    <row r="418" ht="12.75" customHeight="1" s="55"/>
    <row r="419" ht="12.75" customHeight="1" s="55"/>
    <row r="420" ht="12.75" customHeight="1" s="55"/>
    <row r="421" ht="12.75" customHeight="1" s="55"/>
    <row r="422" ht="12.75" customHeight="1" s="55"/>
    <row r="423" ht="12.75" customHeight="1" s="55"/>
    <row r="424" ht="12.75" customHeight="1" s="55"/>
    <row r="425" ht="12.75" customHeight="1" s="55"/>
    <row r="426" ht="12.75" customHeight="1" s="55"/>
    <row r="427" ht="12.75" customHeight="1" s="55"/>
    <row r="428" ht="12.75" customHeight="1" s="55"/>
    <row r="429" ht="12.75" customHeight="1" s="55"/>
    <row r="430" ht="12.75" customHeight="1" s="55"/>
    <row r="431" ht="12.75" customHeight="1" s="55"/>
    <row r="432" ht="12.75" customHeight="1" s="55"/>
    <row r="433" ht="12.75" customHeight="1" s="55"/>
    <row r="434" ht="12.75" customHeight="1" s="55"/>
    <row r="435" ht="12.75" customHeight="1" s="55"/>
    <row r="436" ht="12.75" customHeight="1" s="55"/>
    <row r="437" ht="12.75" customHeight="1" s="55"/>
    <row r="438" ht="12.75" customHeight="1" s="55"/>
    <row r="439" ht="12.75" customHeight="1" s="55"/>
    <row r="440" ht="12.75" customHeight="1" s="55"/>
    <row r="441" ht="12.75" customHeight="1" s="55"/>
    <row r="442" ht="12.75" customHeight="1" s="55"/>
    <row r="443" ht="12.75" customHeight="1" s="55"/>
    <row r="444" ht="12.75" customHeight="1" s="55"/>
    <row r="445" ht="12.75" customHeight="1" s="55"/>
    <row r="446" ht="12.75" customHeight="1" s="55"/>
    <row r="447" ht="12.75" customHeight="1" s="55"/>
    <row r="448" ht="12.75" customHeight="1" s="55"/>
    <row r="449" ht="12.75" customHeight="1" s="55"/>
    <row r="450" ht="12.75" customHeight="1" s="55"/>
    <row r="451" ht="12.75" customHeight="1" s="55"/>
    <row r="452" ht="12.75" customHeight="1" s="55"/>
    <row r="453" ht="12.75" customHeight="1" s="55"/>
    <row r="454" ht="12.75" customHeight="1" s="55"/>
    <row r="455" ht="12.75" customHeight="1" s="55"/>
    <row r="456" ht="12.75" customHeight="1" s="55"/>
    <row r="457" ht="12.75" customHeight="1" s="55"/>
    <row r="458" ht="12.75" customHeight="1" s="55"/>
    <row r="459" ht="12.75" customHeight="1" s="55"/>
    <row r="460" ht="12.75" customHeight="1" s="55"/>
    <row r="461" ht="12.75" customHeight="1" s="55"/>
    <row r="462" ht="12.75" customHeight="1" s="55"/>
    <row r="463" ht="12.75" customHeight="1" s="55"/>
    <row r="464" ht="12.75" customHeight="1" s="55"/>
    <row r="465" ht="12.75" customHeight="1" s="55"/>
    <row r="466" ht="12.75" customHeight="1" s="55"/>
    <row r="467" ht="12.75" customHeight="1" s="55"/>
    <row r="468" ht="12.75" customHeight="1" s="55"/>
    <row r="469" ht="12.75" customHeight="1" s="55"/>
    <row r="470" ht="12.75" customHeight="1" s="55"/>
    <row r="471" ht="12.75" customHeight="1" s="55"/>
    <row r="472" ht="12.75" customHeight="1" s="55"/>
    <row r="473" ht="12.75" customHeight="1" s="55"/>
    <row r="474" ht="12.75" customHeight="1" s="55"/>
    <row r="475" ht="12.75" customHeight="1" s="55"/>
    <row r="476" ht="12.75" customHeight="1" s="55"/>
    <row r="477" ht="12.75" customHeight="1" s="55"/>
    <row r="478" ht="12.75" customHeight="1" s="55"/>
    <row r="479" ht="12.75" customHeight="1" s="55"/>
    <row r="480" ht="12.75" customHeight="1" s="55"/>
    <row r="481" ht="12.75" customHeight="1" s="55"/>
    <row r="482" ht="12.75" customHeight="1" s="55"/>
    <row r="483" ht="12.75" customHeight="1" s="55"/>
    <row r="484" ht="12.75" customHeight="1" s="55"/>
    <row r="485" ht="12.75" customHeight="1" s="55"/>
    <row r="486" ht="12.75" customHeight="1" s="55"/>
    <row r="487" ht="12.75" customHeight="1" s="55"/>
    <row r="488" ht="12.75" customHeight="1" s="55"/>
    <row r="489" ht="12.75" customHeight="1" s="55"/>
    <row r="490" ht="12.75" customHeight="1" s="55"/>
    <row r="491" ht="12.75" customHeight="1" s="55"/>
    <row r="492" ht="12.75" customHeight="1" s="55"/>
    <row r="493" ht="12.75" customHeight="1" s="55"/>
    <row r="494" ht="12.75" customHeight="1" s="55"/>
    <row r="495" ht="12.75" customHeight="1" s="55"/>
    <row r="496" ht="12.75" customHeight="1" s="55"/>
    <row r="497" ht="12.75" customHeight="1" s="55"/>
    <row r="498" ht="12.75" customHeight="1" s="55"/>
    <row r="499" ht="12.75" customHeight="1" s="55"/>
    <row r="500" ht="12.75" customHeight="1" s="55"/>
    <row r="501" ht="12.75" customHeight="1" s="55"/>
    <row r="502" ht="12.75" customHeight="1" s="55"/>
    <row r="503" ht="12.75" customHeight="1" s="55"/>
    <row r="504" ht="12.75" customHeight="1" s="55"/>
    <row r="505" ht="12.75" customHeight="1" s="55"/>
    <row r="506" ht="12.75" customHeight="1" s="55"/>
    <row r="507" ht="12.75" customHeight="1" s="55"/>
    <row r="508" ht="12.75" customHeight="1" s="55"/>
    <row r="509" ht="12.75" customHeight="1" s="55"/>
    <row r="510" ht="12.75" customHeight="1" s="55"/>
    <row r="511" ht="12.75" customHeight="1" s="55"/>
    <row r="512" ht="12.75" customHeight="1" s="55"/>
    <row r="513" ht="12.75" customHeight="1" s="55"/>
    <row r="514" ht="12.75" customHeight="1" s="55"/>
    <row r="515" ht="12.75" customHeight="1" s="55"/>
    <row r="516" ht="12.75" customHeight="1" s="55"/>
    <row r="517" ht="12.75" customHeight="1" s="55"/>
    <row r="518" ht="12.75" customHeight="1" s="55"/>
    <row r="519" ht="12.75" customHeight="1" s="55"/>
    <row r="520" ht="12.75" customHeight="1" s="55"/>
    <row r="521" ht="12.75" customHeight="1" s="55"/>
    <row r="522" ht="12.75" customHeight="1" s="55"/>
    <row r="523" ht="12.75" customHeight="1" s="55"/>
    <row r="524" ht="12.75" customHeight="1" s="55"/>
    <row r="525" ht="12.75" customHeight="1" s="55"/>
    <row r="526" ht="12.75" customHeight="1" s="55"/>
    <row r="527" ht="12.75" customHeight="1" s="55"/>
    <row r="528" ht="12.75" customHeight="1" s="55"/>
    <row r="529" ht="12.75" customHeight="1" s="55"/>
    <row r="530" ht="12.75" customHeight="1" s="55"/>
    <row r="531" ht="12.75" customHeight="1" s="55"/>
    <row r="532" ht="12.75" customHeight="1" s="55"/>
    <row r="533" ht="12.75" customHeight="1" s="55"/>
    <row r="534" ht="12.75" customHeight="1" s="55"/>
    <row r="535" ht="12.75" customHeight="1" s="55"/>
    <row r="536" ht="12.75" customHeight="1" s="55"/>
    <row r="537" ht="12.75" customHeight="1" s="55"/>
    <row r="538" ht="12.75" customHeight="1" s="55"/>
    <row r="539" ht="12.75" customHeight="1" s="55"/>
    <row r="540" ht="12.75" customHeight="1" s="55"/>
    <row r="541" ht="12.75" customHeight="1" s="55"/>
    <row r="542" ht="12.75" customHeight="1" s="55"/>
    <row r="543" ht="12.75" customHeight="1" s="55"/>
    <row r="544" ht="12.75" customHeight="1" s="55"/>
    <row r="545" ht="12.75" customHeight="1" s="55"/>
    <row r="546" ht="12.75" customHeight="1" s="55"/>
    <row r="547" ht="12.75" customHeight="1" s="55"/>
    <row r="548" ht="12.75" customHeight="1" s="55"/>
    <row r="549" ht="12.75" customHeight="1" s="55"/>
    <row r="550" ht="12.75" customHeight="1" s="55"/>
    <row r="551" ht="12.75" customHeight="1" s="55"/>
    <row r="552" ht="12.75" customHeight="1" s="55"/>
    <row r="553" ht="12.75" customHeight="1" s="55"/>
    <row r="554" ht="12.75" customHeight="1" s="55"/>
    <row r="555" ht="12.75" customHeight="1" s="55"/>
    <row r="556" ht="12.75" customHeight="1" s="55"/>
    <row r="557" ht="12.75" customHeight="1" s="55"/>
    <row r="558" ht="12.75" customHeight="1" s="55"/>
    <row r="559" ht="12.75" customHeight="1" s="55"/>
    <row r="560" ht="12.75" customHeight="1" s="55"/>
    <row r="561" ht="12.75" customHeight="1" s="55"/>
    <row r="562" ht="12.75" customHeight="1" s="55"/>
    <row r="563" ht="12.75" customHeight="1" s="55"/>
    <row r="564" ht="12.75" customHeight="1" s="55"/>
    <row r="565" ht="12.75" customHeight="1" s="55"/>
    <row r="566" ht="12.75" customHeight="1" s="55"/>
    <row r="567" ht="12.75" customHeight="1" s="55"/>
    <row r="568" ht="12.75" customHeight="1" s="55"/>
    <row r="569" ht="12.75" customHeight="1" s="55"/>
    <row r="570" ht="12.75" customHeight="1" s="55"/>
    <row r="571" ht="12.75" customHeight="1" s="55"/>
    <row r="572" ht="12.75" customHeight="1" s="55"/>
    <row r="573" ht="12.75" customHeight="1" s="55"/>
    <row r="574" ht="12.75" customHeight="1" s="55"/>
    <row r="575" ht="12.75" customHeight="1" s="55"/>
    <row r="576" ht="12.75" customHeight="1" s="55"/>
    <row r="577" ht="12.75" customHeight="1" s="55"/>
    <row r="578" ht="12.75" customHeight="1" s="55"/>
    <row r="579" ht="12.75" customHeight="1" s="55"/>
    <row r="580" ht="12.75" customHeight="1" s="55"/>
    <row r="581" ht="12.75" customHeight="1" s="55"/>
    <row r="582" ht="12.75" customHeight="1" s="55"/>
    <row r="583" ht="12.75" customHeight="1" s="55"/>
    <row r="584" ht="12.75" customHeight="1" s="55"/>
    <row r="585" ht="12.75" customHeight="1" s="55"/>
    <row r="586" ht="12.75" customHeight="1" s="55"/>
    <row r="587" ht="12.75" customHeight="1" s="55"/>
    <row r="588" ht="12.75" customHeight="1" s="55"/>
    <row r="589" ht="12.75" customHeight="1" s="55"/>
    <row r="590" ht="12.75" customHeight="1" s="55"/>
    <row r="591" ht="12.75" customHeight="1" s="55"/>
    <row r="592" ht="12.75" customHeight="1" s="55"/>
    <row r="593" ht="12.75" customHeight="1" s="55"/>
    <row r="594" ht="12.75" customHeight="1" s="55"/>
    <row r="595" ht="12.75" customHeight="1" s="55"/>
    <row r="596" ht="12.75" customHeight="1" s="55"/>
    <row r="597" ht="12.75" customHeight="1" s="55"/>
    <row r="598" ht="12.75" customHeight="1" s="55"/>
    <row r="599" ht="12.75" customHeight="1" s="55"/>
    <row r="600" ht="12.75" customHeight="1" s="55"/>
    <row r="601" ht="12.75" customHeight="1" s="55"/>
    <row r="602" ht="12.75" customHeight="1" s="55"/>
    <row r="603" ht="12.75" customHeight="1" s="55"/>
    <row r="604" ht="12.75" customHeight="1" s="55"/>
    <row r="605" ht="12.75" customHeight="1" s="55"/>
    <row r="606" ht="12.75" customHeight="1" s="55"/>
    <row r="607" ht="12.75" customHeight="1" s="55"/>
    <row r="608" ht="12.75" customHeight="1" s="55"/>
    <row r="609" ht="12.75" customHeight="1" s="55"/>
    <row r="610" ht="12.75" customHeight="1" s="55"/>
    <row r="611" ht="12.75" customHeight="1" s="55"/>
    <row r="612" ht="12.75" customHeight="1" s="55"/>
    <row r="613" ht="12.75" customHeight="1" s="55"/>
    <row r="614" ht="12.75" customHeight="1" s="55"/>
    <row r="615" ht="12.75" customHeight="1" s="55"/>
    <row r="616" ht="12.75" customHeight="1" s="55"/>
    <row r="617" ht="12.75" customHeight="1" s="55"/>
    <row r="618" ht="12.75" customHeight="1" s="55"/>
    <row r="619" ht="12.75" customHeight="1" s="55"/>
    <row r="620" ht="12.75" customHeight="1" s="55"/>
    <row r="621" ht="12.75" customHeight="1" s="55"/>
    <row r="622" ht="12.75" customHeight="1" s="55"/>
    <row r="623" ht="12.75" customHeight="1" s="55"/>
    <row r="624" ht="12.75" customHeight="1" s="55"/>
    <row r="625" ht="12.75" customHeight="1" s="55"/>
    <row r="626" ht="12.75" customHeight="1" s="55"/>
    <row r="627" ht="12.75" customHeight="1" s="55"/>
    <row r="628" ht="12.75" customHeight="1" s="55"/>
    <row r="629" ht="12.75" customHeight="1" s="55"/>
    <row r="630" ht="12.75" customHeight="1" s="55"/>
    <row r="631" ht="12.75" customHeight="1" s="55"/>
    <row r="632" ht="12.75" customHeight="1" s="55"/>
    <row r="633" ht="12.75" customHeight="1" s="55"/>
    <row r="634" ht="12.75" customHeight="1" s="55"/>
    <row r="635" ht="12.75" customHeight="1" s="55"/>
    <row r="636" ht="12.75" customHeight="1" s="55"/>
    <row r="637" ht="12.75" customHeight="1" s="55"/>
    <row r="638" ht="12.75" customHeight="1" s="55"/>
    <row r="639" ht="12.75" customHeight="1" s="55"/>
    <row r="640" ht="12.75" customHeight="1" s="55"/>
    <row r="641" ht="12.75" customHeight="1" s="55"/>
    <row r="642" ht="12.75" customHeight="1" s="55"/>
    <row r="643" ht="12.75" customHeight="1" s="55"/>
    <row r="644" ht="12.75" customHeight="1" s="55"/>
    <row r="645" ht="12.75" customHeight="1" s="55"/>
    <row r="646" ht="12.75" customHeight="1" s="55"/>
    <row r="647" ht="12.75" customHeight="1" s="55"/>
    <row r="648" ht="12.75" customHeight="1" s="55"/>
    <row r="649" ht="12.75" customHeight="1" s="55"/>
    <row r="650" ht="12.75" customHeight="1" s="55"/>
    <row r="651" ht="12.75" customHeight="1" s="55"/>
    <row r="652" ht="12.75" customHeight="1" s="55"/>
    <row r="653" ht="12.75" customHeight="1" s="55"/>
    <row r="654" ht="12.75" customHeight="1" s="55"/>
    <row r="655" ht="12.75" customHeight="1" s="55"/>
    <row r="656" ht="12.75" customHeight="1" s="55"/>
    <row r="657" ht="12.75" customHeight="1" s="55"/>
    <row r="658" ht="12.75" customHeight="1" s="55"/>
    <row r="659" ht="12.75" customHeight="1" s="55"/>
    <row r="660" ht="12.75" customHeight="1" s="55"/>
    <row r="661" ht="12.75" customHeight="1" s="55"/>
    <row r="662" ht="12.75" customHeight="1" s="55"/>
    <row r="663" ht="12.75" customHeight="1" s="55"/>
    <row r="664" ht="12.75" customHeight="1" s="55"/>
    <row r="665" ht="12.75" customHeight="1" s="55"/>
    <row r="666" ht="12.75" customHeight="1" s="55"/>
    <row r="667" ht="12.75" customHeight="1" s="55"/>
    <row r="668" ht="12.75" customHeight="1" s="55"/>
    <row r="669" ht="12.75" customHeight="1" s="55"/>
    <row r="670" ht="12.75" customHeight="1" s="55"/>
    <row r="671" ht="12.75" customHeight="1" s="55"/>
    <row r="672" ht="12.75" customHeight="1" s="55"/>
    <row r="673" ht="12.75" customHeight="1" s="55"/>
    <row r="674" ht="12.75" customHeight="1" s="55"/>
    <row r="675" ht="12.75" customHeight="1" s="55"/>
    <row r="676" ht="12.75" customHeight="1" s="55"/>
    <row r="677" ht="12.75" customHeight="1" s="55"/>
    <row r="678" ht="12.75" customHeight="1" s="55"/>
    <row r="679" ht="12.75" customHeight="1" s="55"/>
    <row r="680" ht="12.75" customHeight="1" s="55"/>
    <row r="681" ht="12.75" customHeight="1" s="55"/>
    <row r="682" ht="12.75" customHeight="1" s="55"/>
    <row r="683" ht="12.75" customHeight="1" s="55"/>
    <row r="684" ht="12.75" customHeight="1" s="55"/>
    <row r="685" ht="12.75" customHeight="1" s="55"/>
    <row r="686" ht="12.75" customHeight="1" s="55"/>
    <row r="687" ht="12.75" customHeight="1" s="55"/>
    <row r="688" ht="12.75" customHeight="1" s="55"/>
    <row r="689" ht="12.75" customHeight="1" s="55"/>
    <row r="690" ht="12.75" customHeight="1" s="55"/>
    <row r="691" ht="12.75" customHeight="1" s="55"/>
    <row r="692" ht="12.75" customHeight="1" s="55"/>
    <row r="693" ht="12.75" customHeight="1" s="55"/>
    <row r="694" ht="12.75" customHeight="1" s="55"/>
    <row r="695" ht="12.75" customHeight="1" s="55"/>
    <row r="696" ht="12.75" customHeight="1" s="55"/>
    <row r="697" ht="12.75" customHeight="1" s="55"/>
    <row r="698" ht="12.75" customHeight="1" s="55"/>
    <row r="699" ht="12.75" customHeight="1" s="55"/>
    <row r="700" ht="12.75" customHeight="1" s="55"/>
    <row r="701" ht="12.75" customHeight="1" s="55"/>
    <row r="702" ht="12.75" customHeight="1" s="55"/>
    <row r="703" ht="12.75" customHeight="1" s="55"/>
    <row r="704" ht="12.75" customHeight="1" s="55"/>
    <row r="705" ht="12.75" customHeight="1" s="55"/>
    <row r="706" ht="12.75" customHeight="1" s="55"/>
    <row r="707" ht="12.75" customHeight="1" s="55"/>
    <row r="708" ht="12.75" customHeight="1" s="55"/>
    <row r="709" ht="12.75" customHeight="1" s="55"/>
    <row r="710" ht="12.75" customHeight="1" s="55"/>
    <row r="711" ht="12.75" customHeight="1" s="55"/>
    <row r="712" ht="12.75" customHeight="1" s="55"/>
    <row r="713" ht="12.75" customHeight="1" s="55"/>
    <row r="714" ht="12.75" customHeight="1" s="55"/>
    <row r="715" ht="12.75" customHeight="1" s="55"/>
    <row r="716" ht="12.75" customHeight="1" s="55"/>
    <row r="717" ht="12.75" customHeight="1" s="55"/>
    <row r="718" ht="12.75" customHeight="1" s="55"/>
    <row r="719" ht="12.75" customHeight="1" s="55"/>
    <row r="720" ht="12.75" customHeight="1" s="55"/>
    <row r="721" ht="12.75" customHeight="1" s="55"/>
    <row r="722" ht="12.75" customHeight="1" s="55"/>
    <row r="723" ht="12.75" customHeight="1" s="55"/>
    <row r="724" ht="12.75" customHeight="1" s="55"/>
    <row r="725" ht="12.75" customHeight="1" s="55"/>
    <row r="726" ht="12.75" customHeight="1" s="55"/>
    <row r="727" ht="12.75" customHeight="1" s="55"/>
    <row r="728" ht="12.75" customHeight="1" s="55"/>
    <row r="729" ht="12.75" customHeight="1" s="55"/>
    <row r="730" ht="12.75" customHeight="1" s="55"/>
    <row r="731" ht="12.75" customHeight="1" s="55"/>
    <row r="732" ht="12.75" customHeight="1" s="55"/>
    <row r="733" ht="12.75" customHeight="1" s="55"/>
    <row r="734" ht="12.75" customHeight="1" s="55"/>
    <row r="735" ht="12.75" customHeight="1" s="55"/>
    <row r="736" ht="12.75" customHeight="1" s="55"/>
    <row r="737" ht="12.75" customHeight="1" s="55"/>
    <row r="738" ht="12.75" customHeight="1" s="55"/>
    <row r="739" ht="12.75" customHeight="1" s="55"/>
    <row r="740" ht="12.75" customHeight="1" s="55"/>
    <row r="741" ht="12.75" customHeight="1" s="55"/>
    <row r="742" ht="12.75" customHeight="1" s="55"/>
    <row r="743" ht="12.75" customHeight="1" s="55"/>
    <row r="744" ht="12.75" customHeight="1" s="55"/>
    <row r="745" ht="12.75" customHeight="1" s="55"/>
    <row r="746" ht="12.75" customHeight="1" s="55"/>
    <row r="747" ht="12.75" customHeight="1" s="55"/>
    <row r="748" ht="12.75" customHeight="1" s="55"/>
    <row r="749" ht="12.75" customHeight="1" s="55"/>
    <row r="750" ht="12.75" customHeight="1" s="55"/>
    <row r="751" ht="12.75" customHeight="1" s="55"/>
    <row r="752" ht="12.75" customHeight="1" s="55"/>
    <row r="753" ht="12.75" customHeight="1" s="55"/>
    <row r="754" ht="12.75" customHeight="1" s="55"/>
    <row r="755" ht="12.75" customHeight="1" s="55"/>
    <row r="756" ht="12.75" customHeight="1" s="55"/>
    <row r="757" ht="12.75" customHeight="1" s="55"/>
    <row r="758" ht="12.75" customHeight="1" s="55"/>
    <row r="759" ht="12.75" customHeight="1" s="55"/>
    <row r="760" ht="12.75" customHeight="1" s="55"/>
    <row r="761" ht="12.75" customHeight="1" s="55"/>
    <row r="762" ht="12.75" customHeight="1" s="55"/>
    <row r="763" ht="12.75" customHeight="1" s="55"/>
    <row r="764" ht="12.75" customHeight="1" s="55"/>
    <row r="765" ht="12.75" customHeight="1" s="55"/>
    <row r="766" ht="12.75" customHeight="1" s="55"/>
    <row r="767" ht="12.75" customHeight="1" s="55"/>
    <row r="768" ht="12.75" customHeight="1" s="55"/>
    <row r="769" ht="12.75" customHeight="1" s="55"/>
    <row r="770" ht="12.75" customHeight="1" s="55"/>
    <row r="771" ht="12.75" customHeight="1" s="55"/>
    <row r="772" ht="12.75" customHeight="1" s="55"/>
    <row r="773" ht="12.75" customHeight="1" s="55"/>
    <row r="774" ht="12.75" customHeight="1" s="55"/>
    <row r="775" ht="12.75" customHeight="1" s="55"/>
    <row r="776" ht="12.75" customHeight="1" s="55"/>
    <row r="777" ht="12.75" customHeight="1" s="55"/>
    <row r="778" ht="12.75" customHeight="1" s="55"/>
    <row r="779" ht="12.75" customHeight="1" s="55"/>
    <row r="780" ht="12.75" customHeight="1" s="55"/>
    <row r="781" ht="12.75" customHeight="1" s="55"/>
    <row r="782" ht="12.75" customHeight="1" s="55"/>
    <row r="783" ht="12.75" customHeight="1" s="55"/>
    <row r="784" ht="12.75" customHeight="1" s="55"/>
    <row r="785" ht="12.75" customHeight="1" s="55"/>
    <row r="786" ht="12.75" customHeight="1" s="55"/>
    <row r="787" ht="12.75" customHeight="1" s="55"/>
    <row r="788" ht="12.75" customHeight="1" s="55"/>
    <row r="789" ht="12.75" customHeight="1" s="55"/>
    <row r="790" ht="12.75" customHeight="1" s="55"/>
    <row r="791" ht="12.75" customHeight="1" s="55"/>
    <row r="792" ht="12.75" customHeight="1" s="55"/>
    <row r="793" ht="12.75" customHeight="1" s="55"/>
    <row r="794" ht="12.75" customHeight="1" s="55"/>
    <row r="795" ht="12.75" customHeight="1" s="55"/>
    <row r="796" ht="12.75" customHeight="1" s="55"/>
    <row r="797" ht="12.75" customHeight="1" s="55"/>
    <row r="798" ht="12.75" customHeight="1" s="55"/>
    <row r="799" ht="12.75" customHeight="1" s="55"/>
    <row r="800" ht="12.75" customHeight="1" s="55"/>
    <row r="801" ht="12.75" customHeight="1" s="55"/>
    <row r="802" ht="12.75" customHeight="1" s="55"/>
    <row r="803" ht="12.75" customHeight="1" s="55"/>
    <row r="804" ht="12.75" customHeight="1" s="55"/>
    <row r="805" ht="12.75" customHeight="1" s="55"/>
    <row r="806" ht="12.75" customHeight="1" s="55"/>
    <row r="807" ht="12.75" customHeight="1" s="55"/>
    <row r="808" ht="12.75" customHeight="1" s="55"/>
    <row r="809" ht="12.75" customHeight="1" s="55"/>
    <row r="810" ht="12.75" customHeight="1" s="55"/>
    <row r="811" ht="12.75" customHeight="1" s="55"/>
    <row r="812" ht="12.75" customHeight="1" s="55"/>
    <row r="813" ht="12.75" customHeight="1" s="55"/>
    <row r="814" ht="12.75" customHeight="1" s="55"/>
    <row r="815" ht="12.75" customHeight="1" s="55"/>
    <row r="816" ht="12.75" customHeight="1" s="55"/>
    <row r="817" ht="12.75" customHeight="1" s="55"/>
    <row r="818" ht="12.75" customHeight="1" s="55"/>
    <row r="819" ht="12.75" customHeight="1" s="55"/>
    <row r="820" ht="12.75" customHeight="1" s="55"/>
    <row r="821" ht="12.75" customHeight="1" s="55"/>
    <row r="822" ht="12.75" customHeight="1" s="55"/>
    <row r="823" ht="12.75" customHeight="1" s="55"/>
    <row r="824" ht="12.75" customHeight="1" s="55"/>
    <row r="825" ht="12.75" customHeight="1" s="55"/>
    <row r="826" ht="12.75" customHeight="1" s="55"/>
    <row r="827" ht="12.75" customHeight="1" s="55"/>
    <row r="828" ht="12.75" customHeight="1" s="55"/>
    <row r="829" ht="12.75" customHeight="1" s="55"/>
    <row r="830" ht="12.75" customHeight="1" s="55"/>
    <row r="831" ht="12.75" customHeight="1" s="55"/>
    <row r="832" ht="12.75" customHeight="1" s="55"/>
    <row r="833" ht="12.75" customHeight="1" s="55"/>
    <row r="834" ht="12.75" customHeight="1" s="55"/>
    <row r="835" ht="12.75" customHeight="1" s="55"/>
    <row r="836" ht="12.75" customHeight="1" s="55"/>
    <row r="837" ht="12.75" customHeight="1" s="55"/>
    <row r="838" ht="12.75" customHeight="1" s="55"/>
    <row r="839" ht="12.75" customHeight="1" s="55"/>
    <row r="840" ht="12.75" customHeight="1" s="55"/>
    <row r="841" ht="12.75" customHeight="1" s="55"/>
    <row r="842" ht="12.75" customHeight="1" s="55"/>
    <row r="843" ht="12.75" customHeight="1" s="55"/>
    <row r="844" ht="12.75" customHeight="1" s="55"/>
    <row r="845" ht="12.75" customHeight="1" s="55"/>
    <row r="846" ht="12.75" customHeight="1" s="55"/>
    <row r="847" ht="12.75" customHeight="1" s="55"/>
    <row r="848" ht="12.75" customHeight="1" s="55"/>
    <row r="849" ht="12.75" customHeight="1" s="55"/>
    <row r="850" ht="12.75" customHeight="1" s="55"/>
    <row r="851" ht="12.75" customHeight="1" s="55"/>
    <row r="852" ht="12.75" customHeight="1" s="55"/>
    <row r="853" ht="12.75" customHeight="1" s="55"/>
    <row r="854" ht="12.75" customHeight="1" s="55"/>
    <row r="855" ht="12.75" customHeight="1" s="55"/>
    <row r="856" ht="12.75" customHeight="1" s="55"/>
    <row r="857" ht="12.75" customHeight="1" s="55"/>
    <row r="858" ht="12.75" customHeight="1" s="55"/>
    <row r="859" ht="12.75" customHeight="1" s="55"/>
    <row r="860" ht="12.75" customHeight="1" s="55"/>
    <row r="861" ht="12.75" customHeight="1" s="55"/>
    <row r="862" ht="12.75" customHeight="1" s="55"/>
    <row r="863" ht="12.75" customHeight="1" s="55"/>
    <row r="864" ht="12.75" customHeight="1" s="55"/>
    <row r="865" ht="12.75" customHeight="1" s="55"/>
    <row r="866" ht="12.75" customHeight="1" s="55"/>
    <row r="867" ht="12.75" customHeight="1" s="55"/>
    <row r="868" ht="12.75" customHeight="1" s="55"/>
    <row r="869" ht="12.75" customHeight="1" s="55"/>
    <row r="870" ht="12.75" customHeight="1" s="55"/>
    <row r="871" ht="12.75" customHeight="1" s="55"/>
    <row r="872" ht="12.75" customHeight="1" s="55"/>
    <row r="873" ht="12.75" customHeight="1" s="55"/>
    <row r="874" ht="12.75" customHeight="1" s="55"/>
    <row r="875" ht="12.75" customHeight="1" s="55"/>
    <row r="876" ht="12.75" customHeight="1" s="55"/>
    <row r="877" ht="12.75" customHeight="1" s="55"/>
    <row r="878" ht="12.75" customHeight="1" s="55"/>
    <row r="879" ht="12.75" customHeight="1" s="55"/>
    <row r="880" ht="12.75" customHeight="1" s="55"/>
    <row r="881" ht="12.75" customHeight="1" s="55"/>
    <row r="882" ht="12.75" customHeight="1" s="55"/>
    <row r="883" ht="12.75" customHeight="1" s="55"/>
    <row r="884" ht="12.75" customHeight="1" s="55"/>
    <row r="885" ht="12.75" customHeight="1" s="55"/>
    <row r="886" ht="12.75" customHeight="1" s="55"/>
    <row r="887" ht="12.75" customHeight="1" s="55"/>
    <row r="888" ht="12.75" customHeight="1" s="55"/>
    <row r="889" ht="12.75" customHeight="1" s="55"/>
    <row r="890" ht="12.75" customHeight="1" s="55"/>
    <row r="891" ht="12.75" customHeight="1" s="55"/>
    <row r="892" ht="12.75" customHeight="1" s="55"/>
    <row r="893" ht="12.75" customHeight="1" s="55"/>
    <row r="894" ht="12.75" customHeight="1" s="55"/>
    <row r="895" ht="12.75" customHeight="1" s="55"/>
    <row r="896" ht="12.75" customHeight="1" s="55"/>
    <row r="897" ht="12.75" customHeight="1" s="55"/>
    <row r="898" ht="12.75" customHeight="1" s="55"/>
    <row r="899" ht="12.75" customHeight="1" s="55"/>
    <row r="900" ht="12.75" customHeight="1" s="55"/>
    <row r="901" ht="12.75" customHeight="1" s="55"/>
    <row r="902" ht="12.75" customHeight="1" s="55"/>
    <row r="903" ht="12.75" customHeight="1" s="55"/>
    <row r="904" ht="12.75" customHeight="1" s="55"/>
    <row r="905" ht="12.75" customHeight="1" s="55"/>
    <row r="906" ht="12.75" customHeight="1" s="55"/>
    <row r="907" ht="12.75" customHeight="1" s="55"/>
    <row r="908" ht="12.75" customHeight="1" s="55"/>
    <row r="909" ht="12.75" customHeight="1" s="55"/>
    <row r="910" ht="12.75" customHeight="1" s="55"/>
    <row r="911" ht="12.75" customHeight="1" s="55"/>
    <row r="912" ht="12.75" customHeight="1" s="55"/>
    <row r="913" ht="12.75" customHeight="1" s="55"/>
    <row r="914" ht="12.75" customHeight="1" s="55"/>
    <row r="915" ht="12.75" customHeight="1" s="55"/>
    <row r="916" ht="12.75" customHeight="1" s="55"/>
    <row r="917" ht="12.75" customHeight="1" s="55"/>
    <row r="918" ht="12.75" customHeight="1" s="55"/>
    <row r="919" ht="12.75" customHeight="1" s="55"/>
    <row r="920" ht="12.75" customHeight="1" s="55"/>
    <row r="921" ht="12.75" customHeight="1" s="55"/>
    <row r="922" ht="12.75" customHeight="1" s="55"/>
    <row r="923" ht="12.75" customHeight="1" s="55"/>
    <row r="924" ht="12.75" customHeight="1" s="55"/>
    <row r="925" ht="12.75" customHeight="1" s="55"/>
    <row r="926" ht="12.75" customHeight="1" s="55"/>
    <row r="927" ht="12.75" customHeight="1" s="55"/>
    <row r="928" ht="12.75" customHeight="1" s="55"/>
    <row r="929" ht="12.75" customHeight="1" s="55"/>
    <row r="930" ht="12.75" customHeight="1" s="55"/>
    <row r="931" ht="12.75" customHeight="1" s="55"/>
    <row r="932" ht="12.75" customHeight="1" s="55"/>
    <row r="933" ht="12.75" customHeight="1" s="55"/>
    <row r="934" ht="12.75" customHeight="1" s="55"/>
    <row r="935" ht="12.75" customHeight="1" s="55"/>
    <row r="936" ht="12.75" customHeight="1" s="55"/>
    <row r="937" ht="12.75" customHeight="1" s="55"/>
    <row r="938" ht="12.75" customHeight="1" s="55"/>
    <row r="939" ht="12.75" customHeight="1" s="55"/>
    <row r="940" ht="12.75" customHeight="1" s="55"/>
    <row r="941" ht="12.75" customHeight="1" s="55"/>
    <row r="942" ht="12.75" customHeight="1" s="55"/>
    <row r="943" ht="12.75" customHeight="1" s="55"/>
    <row r="944" ht="12.75" customHeight="1" s="55"/>
    <row r="945" ht="12.75" customHeight="1" s="55"/>
    <row r="946" ht="12.75" customHeight="1" s="55"/>
    <row r="947" ht="12.75" customHeight="1" s="55"/>
    <row r="948" ht="12.75" customHeight="1" s="55"/>
    <row r="949" ht="12.75" customHeight="1" s="55"/>
    <row r="950" ht="12.75" customHeight="1" s="55"/>
    <row r="951" ht="12.75" customHeight="1" s="55"/>
    <row r="952" ht="12.75" customHeight="1" s="55"/>
    <row r="953" ht="12.75" customHeight="1" s="55"/>
    <row r="954" ht="12.75" customHeight="1" s="55"/>
    <row r="955" ht="12.75" customHeight="1" s="55"/>
    <row r="956" ht="12.75" customHeight="1" s="55"/>
    <row r="957" ht="12.75" customHeight="1" s="55"/>
    <row r="958" ht="12.75" customHeight="1" s="55"/>
    <row r="959" ht="12.75" customHeight="1" s="55"/>
    <row r="960" ht="12.75" customHeight="1" s="55"/>
    <row r="961" ht="12.75" customHeight="1" s="55"/>
    <row r="962" ht="12.75" customHeight="1" s="55"/>
    <row r="963" ht="12.75" customHeight="1" s="55"/>
    <row r="964" ht="12.75" customHeight="1" s="55"/>
    <row r="965" ht="12.75" customHeight="1" s="55"/>
    <row r="966" ht="12.75" customHeight="1" s="55"/>
    <row r="967" ht="12.75" customHeight="1" s="55"/>
    <row r="968" ht="12.75" customHeight="1" s="55"/>
    <row r="969" ht="12.75" customHeight="1" s="55"/>
    <row r="970" ht="12.75" customHeight="1" s="55"/>
    <row r="971" ht="12.75" customHeight="1" s="55"/>
    <row r="972" ht="12.75" customHeight="1" s="55"/>
    <row r="973" ht="12.75" customHeight="1" s="55"/>
    <row r="974" ht="12.75" customHeight="1" s="55"/>
    <row r="975" ht="12.75" customHeight="1" s="55"/>
    <row r="976" ht="12.75" customHeight="1" s="55"/>
    <row r="977" ht="12.75" customHeight="1" s="55"/>
    <row r="978" ht="12.75" customHeight="1" s="55"/>
    <row r="979" ht="12.75" customHeight="1" s="55"/>
    <row r="980" ht="12.75" customHeight="1" s="55"/>
    <row r="981" ht="12.75" customHeight="1" s="55"/>
    <row r="982" ht="12.75" customHeight="1" s="55"/>
    <row r="983" ht="12.75" customHeight="1" s="55"/>
    <row r="984" ht="12.75" customHeight="1" s="55"/>
    <row r="985" ht="12.75" customHeight="1" s="55"/>
    <row r="986" ht="12.75" customHeight="1" s="55"/>
    <row r="987" ht="12.75" customHeight="1" s="55"/>
    <row r="988" ht="12.75" customHeight="1" s="55"/>
    <row r="989" ht="12.75" customHeight="1" s="55"/>
    <row r="990" ht="12.75" customHeight="1" s="55"/>
    <row r="991" ht="12.75" customHeight="1" s="55"/>
    <row r="992" ht="12.75" customHeight="1" s="55"/>
    <row r="993" ht="12.75" customHeight="1" s="55"/>
    <row r="994" ht="12.75" customHeight="1" s="55"/>
    <row r="995" ht="12.75" customHeight="1" s="55"/>
    <row r="996" ht="12.75" customHeight="1" s="55"/>
    <row r="997" ht="12.75" customHeight="1" s="55"/>
    <row r="998" ht="12.75" customHeight="1" s="55"/>
    <row r="999" ht="12.75" customHeight="1" s="55"/>
    <row r="1000" ht="12.75" customHeight="1" s="55"/>
  </sheetData>
  <mergeCells count="3">
    <mergeCell ref="A1:D1"/>
    <mergeCell ref="A3:D3"/>
    <mergeCell ref="A2:D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12:Y98 A1"/>
    </sheetView>
  </sheetViews>
  <sheetFormatPr baseColWidth="8" defaultColWidth="12.6328125" defaultRowHeight="15" zeroHeight="0" outlineLevelRow="0"/>
  <cols>
    <col width="7.38" customWidth="1" style="54" min="1" max="1"/>
    <col width="11" customWidth="1" style="54" min="2" max="2"/>
    <col width="32.63" customWidth="1" style="54" min="3" max="3"/>
    <col width="54.63" customWidth="1" style="54" min="4" max="4"/>
    <col width="8" customWidth="1" style="54" min="5" max="26"/>
  </cols>
  <sheetData>
    <row r="1" ht="15.75" customHeight="1" s="55">
      <c r="A1" s="56" t="inlineStr">
        <is>
          <t>SSN College of Engineering, Kalavakkam - 603 110</t>
        </is>
      </c>
    </row>
    <row r="2" ht="15.75" customHeight="1" s="55">
      <c r="A2" s="56" t="inlineStr">
        <is>
          <t>Department of Information Technology</t>
        </is>
      </c>
    </row>
    <row r="3" ht="15.75" customHeight="1" s="55">
      <c r="A3" s="56" t="inlineStr">
        <is>
          <t>OPEN ELECTIVE NAMELIST</t>
        </is>
      </c>
    </row>
    <row r="4" ht="15.75" customHeight="1" s="55">
      <c r="A4" s="58" t="inlineStr">
        <is>
          <t xml:space="preserve">Class &amp; Section : VI SEM  IT </t>
        </is>
      </c>
      <c r="B4" s="58" t="n"/>
      <c r="C4" s="58" t="n"/>
    </row>
    <row r="5" ht="15.75" customHeight="1" s="55">
      <c r="A5" s="58" t="inlineStr">
        <is>
          <t>Academic Year: 2020-2021</t>
        </is>
      </c>
      <c r="B5" s="58" t="n"/>
    </row>
    <row r="6" ht="15.75" customHeight="1" s="55">
      <c r="A6" s="58" t="n"/>
      <c r="B6" s="58" t="n"/>
      <c r="C6" s="60" t="n"/>
      <c r="D6" s="60" t="inlineStr">
        <is>
          <t>Batch: 2018-2022</t>
        </is>
      </c>
    </row>
    <row r="7" ht="12.75" customHeight="1" s="55">
      <c r="A7" s="106" t="inlineStr">
        <is>
          <t>Sub Code &amp; Sub Name :</t>
        </is>
      </c>
    </row>
    <row r="8" ht="12.75" customHeight="1" s="55">
      <c r="A8" s="106" t="inlineStr">
        <is>
          <t>Staff Name :</t>
        </is>
      </c>
    </row>
    <row r="9" ht="12.75" customHeight="1" s="55"/>
    <row r="10" ht="15.75" customHeight="1" s="55">
      <c r="A10" s="107" t="inlineStr">
        <is>
          <t>SL. NO</t>
        </is>
      </c>
      <c r="B10" s="108" t="inlineStr">
        <is>
          <t>REG. NO.</t>
        </is>
      </c>
      <c r="C10" s="107" t="inlineStr">
        <is>
          <t>NAME</t>
        </is>
      </c>
      <c r="D10" s="107" t="inlineStr">
        <is>
          <t>OPEN ELECTIVE SUBJECT</t>
        </is>
      </c>
    </row>
    <row r="11" ht="12.75" customHeight="1" s="55">
      <c r="A11" s="71" t="n">
        <v>1</v>
      </c>
      <c r="B11" s="71" t="n">
        <v>185002001</v>
      </c>
      <c r="C11" s="71" t="inlineStr">
        <is>
          <t>Aadhithya B.Kailash</t>
        </is>
      </c>
      <c r="D11" s="71" t="inlineStr">
        <is>
          <t>UIT1622 - Speech Processing</t>
        </is>
      </c>
    </row>
    <row r="12" ht="12.75" customHeight="1" s="55">
      <c r="A12" s="71" t="n">
        <v>2</v>
      </c>
      <c r="B12" s="71" t="n">
        <v>185002003</v>
      </c>
      <c r="C12" s="71" t="inlineStr">
        <is>
          <t>Adithya R</t>
        </is>
      </c>
      <c r="D12" s="71" t="inlineStr">
        <is>
          <t>UIT1622 - Speech Processing</t>
        </is>
      </c>
    </row>
    <row r="13" ht="12.75" customHeight="1" s="55">
      <c r="A13" s="71" t="n">
        <v>3</v>
      </c>
      <c r="B13" s="71" t="n">
        <v>185002007</v>
      </c>
      <c r="C13" s="71" t="inlineStr">
        <is>
          <t xml:space="preserve">Akarvin Raja Prajan S A J </t>
        </is>
      </c>
      <c r="D13" s="71" t="inlineStr">
        <is>
          <t>UIT1622 - Speech Processing</t>
        </is>
      </c>
    </row>
    <row r="14" ht="12.75" customHeight="1" s="55">
      <c r="A14" s="71" t="n">
        <v>4</v>
      </c>
      <c r="B14" s="71" t="n">
        <v>185002011</v>
      </c>
      <c r="C14" s="71" t="inlineStr">
        <is>
          <t>Amrith M</t>
        </is>
      </c>
      <c r="D14" s="71" t="inlineStr">
        <is>
          <t>UIT1622 - Speech Processing</t>
        </is>
      </c>
    </row>
    <row r="15" ht="12.75" customHeight="1" s="55">
      <c r="A15" s="71" t="n">
        <v>5</v>
      </c>
      <c r="B15" s="71" t="n">
        <v>185002016</v>
      </c>
      <c r="C15" s="71" t="inlineStr">
        <is>
          <t>R. Arun Kumar</t>
        </is>
      </c>
      <c r="D15" s="71" t="inlineStr">
        <is>
          <t>UIT1622 - Speech Processing</t>
        </is>
      </c>
    </row>
    <row r="16" ht="12.75" customHeight="1" s="55">
      <c r="A16" s="71" t="n">
        <v>6</v>
      </c>
      <c r="B16" s="71" t="n">
        <v>185002018</v>
      </c>
      <c r="C16" s="71" t="inlineStr">
        <is>
          <t>M Badri Narayanan</t>
        </is>
      </c>
      <c r="D16" s="71" t="inlineStr">
        <is>
          <t>UIT1622 - Speech Processing</t>
        </is>
      </c>
    </row>
    <row r="17" ht="12.75" customHeight="1" s="55">
      <c r="A17" s="71" t="n">
        <v>7</v>
      </c>
      <c r="B17" s="71" t="n">
        <v>185002020</v>
      </c>
      <c r="C17" s="71" t="inlineStr">
        <is>
          <t>Yagnavi</t>
        </is>
      </c>
      <c r="D17" s="71" t="inlineStr">
        <is>
          <t>UIT1622 - Speech Processing</t>
        </is>
      </c>
    </row>
    <row r="18" ht="12.75" customHeight="1" s="55">
      <c r="A18" s="71" t="n">
        <v>8</v>
      </c>
      <c r="B18" s="71" t="n">
        <v>185002029</v>
      </c>
      <c r="C18" s="71" t="inlineStr">
        <is>
          <t>Ghanta Sandhya Rani</t>
        </is>
      </c>
      <c r="D18" s="71" t="inlineStr">
        <is>
          <t>UIT1622 - Speech Processing</t>
        </is>
      </c>
    </row>
    <row r="19" ht="12.75" customHeight="1" s="55">
      <c r="A19" s="71" t="n">
        <v>9</v>
      </c>
      <c r="B19" s="71" t="n">
        <v>185002049</v>
      </c>
      <c r="C19" s="71" t="inlineStr">
        <is>
          <t>S. Keertivaas</t>
        </is>
      </c>
      <c r="D19" s="71" t="inlineStr">
        <is>
          <t>UIT1622 - Speech Processing</t>
        </is>
      </c>
    </row>
    <row r="20" ht="12.75" customHeight="1" s="55">
      <c r="A20" s="71" t="n">
        <v>10</v>
      </c>
      <c r="B20" s="71" t="n">
        <v>185002014</v>
      </c>
      <c r="C20" s="71" t="inlineStr">
        <is>
          <t>R Aravind Angappan</t>
        </is>
      </c>
      <c r="D20" s="71" t="inlineStr">
        <is>
          <t>UIT1621 - Real Time Embedded Systems</t>
        </is>
      </c>
    </row>
    <row r="21" ht="12.75" customHeight="1" s="55">
      <c r="A21" s="71" t="n">
        <v>11</v>
      </c>
      <c r="B21" s="71" t="n">
        <v>185002015</v>
      </c>
      <c r="C21" s="71" t="inlineStr">
        <is>
          <t>ARUN KS</t>
        </is>
      </c>
      <c r="D21" s="71" t="inlineStr">
        <is>
          <t>UIT1621 - Real Time Embedded Systems</t>
        </is>
      </c>
    </row>
    <row r="22" ht="12.75" customHeight="1" s="55">
      <c r="A22" s="71" t="n">
        <v>12</v>
      </c>
      <c r="B22" s="71" t="n">
        <v>185002017</v>
      </c>
      <c r="C22" s="71" t="inlineStr">
        <is>
          <t>Arun Laxman A</t>
        </is>
      </c>
      <c r="D22" s="71" t="inlineStr">
        <is>
          <t>UIT1621 - Real Time Embedded Systems</t>
        </is>
      </c>
    </row>
    <row r="23" ht="12.75" customHeight="1" s="55">
      <c r="A23" s="71" t="n">
        <v>13</v>
      </c>
      <c r="B23" s="71" t="n">
        <v>185002031</v>
      </c>
      <c r="C23" s="71" t="inlineStr">
        <is>
          <t>Harish Sharma V</t>
        </is>
      </c>
      <c r="D23" s="71" t="inlineStr">
        <is>
          <t>UIT1621 - Real Time Embedded Systems</t>
        </is>
      </c>
    </row>
    <row r="24" ht="12.75" customHeight="1" s="55">
      <c r="A24" s="71" t="n">
        <v>14</v>
      </c>
      <c r="B24" s="71" t="n">
        <v>185002032</v>
      </c>
      <c r="C24" s="71" t="inlineStr">
        <is>
          <t>Harrison Vijay J</t>
        </is>
      </c>
      <c r="D24" s="71" t="inlineStr">
        <is>
          <t>UIT1621 - Real Time Embedded Systems</t>
        </is>
      </c>
    </row>
    <row r="25" ht="12.75" customHeight="1" s="55">
      <c r="A25" s="71" t="n">
        <v>15</v>
      </c>
      <c r="B25" s="71" t="n">
        <v>185002034</v>
      </c>
      <c r="C25" s="71" t="inlineStr">
        <is>
          <t>R. Harshene</t>
        </is>
      </c>
      <c r="D25" s="71" t="inlineStr">
        <is>
          <t>UIT1621 - Real Time Embedded Systems</t>
        </is>
      </c>
    </row>
    <row r="26" ht="12.75" customHeight="1" s="55">
      <c r="A26" s="71" t="n">
        <v>16</v>
      </c>
      <c r="B26" s="71" t="n">
        <v>185002035</v>
      </c>
      <c r="C26" s="71" t="inlineStr">
        <is>
          <t>B.Harshini</t>
        </is>
      </c>
      <c r="D26" s="71" t="inlineStr">
        <is>
          <t>UIT1621 - Real Time Embedded Systems</t>
        </is>
      </c>
    </row>
    <row r="27" ht="12.75" customHeight="1" s="55">
      <c r="A27" s="71" t="n">
        <v>17</v>
      </c>
      <c r="B27" s="71" t="n">
        <v>185002039</v>
      </c>
      <c r="C27" s="71" t="inlineStr">
        <is>
          <t xml:space="preserve">Abhaya Chetna Jajula </t>
        </is>
      </c>
      <c r="D27" s="71" t="inlineStr">
        <is>
          <t>UIT1621 - Real Time Embedded Systems</t>
        </is>
      </c>
    </row>
    <row r="28" ht="12.75" customHeight="1" s="55">
      <c r="A28" s="71" t="n">
        <v>18</v>
      </c>
      <c r="B28" s="71" t="n">
        <v>185002051</v>
      </c>
      <c r="C28" s="71" t="inlineStr">
        <is>
          <t>Koushika Padmanaban</t>
        </is>
      </c>
      <c r="D28" s="71" t="inlineStr">
        <is>
          <t>UIT1621 - Real Time Embedded Systems</t>
        </is>
      </c>
    </row>
    <row r="29" ht="12.75" customHeight="1" s="55">
      <c r="A29" s="71" t="n">
        <v>19</v>
      </c>
      <c r="B29" s="71" t="n">
        <v>185002052</v>
      </c>
      <c r="C29" s="71" t="inlineStr">
        <is>
          <t>S A KRITHIK SHARAN</t>
        </is>
      </c>
      <c r="D29" s="71" t="inlineStr">
        <is>
          <t>UIT1621 - Real Time Embedded Systems</t>
        </is>
      </c>
    </row>
    <row r="30" ht="12.75" customHeight="1" s="55">
      <c r="A30" s="71" t="n">
        <v>20</v>
      </c>
      <c r="B30" s="71" t="n">
        <v>185002053</v>
      </c>
      <c r="C30" s="71" t="inlineStr">
        <is>
          <t>P.Lakshanya</t>
        </is>
      </c>
      <c r="D30" s="71" t="inlineStr">
        <is>
          <t>UIT1621 - Real Time Embedded Systems</t>
        </is>
      </c>
    </row>
    <row r="31" ht="12.75" customHeight="1" s="55">
      <c r="A31" s="71" t="n">
        <v>21</v>
      </c>
      <c r="B31" s="71" t="n">
        <v>185002065</v>
      </c>
      <c r="C31" s="71" t="inlineStr">
        <is>
          <t>Nandana S</t>
        </is>
      </c>
      <c r="D31" s="71" t="inlineStr">
        <is>
          <t>UIT1621 - Real Time Embedded Systems</t>
        </is>
      </c>
    </row>
    <row r="32" ht="12.75" customHeight="1" s="55">
      <c r="A32" s="71" t="n">
        <v>22</v>
      </c>
      <c r="B32" s="71" t="n">
        <v>185002071</v>
      </c>
      <c r="C32" s="71" t="inlineStr">
        <is>
          <t>Obed Immanuel Raj JJ</t>
        </is>
      </c>
      <c r="D32" s="71" t="inlineStr">
        <is>
          <t>UIT1621 - Real Time Embedded Systems</t>
        </is>
      </c>
    </row>
    <row r="33" ht="12.75" customHeight="1" s="55">
      <c r="A33" s="71" t="n">
        <v>23</v>
      </c>
      <c r="B33" s="71" t="n">
        <v>185002077</v>
      </c>
      <c r="C33" s="71" t="inlineStr">
        <is>
          <t>Raajalakshumi K</t>
        </is>
      </c>
      <c r="D33" s="71" t="inlineStr">
        <is>
          <t>UIT1621 - Real Time Embedded Systems</t>
        </is>
      </c>
    </row>
    <row r="34" ht="12.75" customHeight="1" s="55">
      <c r="A34" s="71" t="n">
        <v>24</v>
      </c>
      <c r="B34" s="71" t="n">
        <v>185002090</v>
      </c>
      <c r="C34" s="71" t="inlineStr">
        <is>
          <t xml:space="preserve">Saurav Singh </t>
        </is>
      </c>
      <c r="D34" s="71" t="inlineStr">
        <is>
          <t>UIT1621 - Real Time Embedded Systems</t>
        </is>
      </c>
    </row>
    <row r="35" ht="12.75" customHeight="1" s="55">
      <c r="A35" s="71" t="n">
        <v>25</v>
      </c>
      <c r="B35" s="71" t="n">
        <v>185002093</v>
      </c>
      <c r="C35" s="71" t="inlineStr">
        <is>
          <t>Shivakumar G</t>
        </is>
      </c>
      <c r="D35" s="71" t="inlineStr">
        <is>
          <t>UIT1621 - Real Time Embedded Systems</t>
        </is>
      </c>
    </row>
    <row r="36" ht="12.75" customHeight="1" s="55">
      <c r="A36" s="71" t="n">
        <v>26</v>
      </c>
      <c r="B36" s="71" t="n">
        <v>185002101</v>
      </c>
      <c r="C36" s="71" t="inlineStr">
        <is>
          <t>Sriram K</t>
        </is>
      </c>
      <c r="D36" s="71" t="inlineStr">
        <is>
          <t>UIT1621 - Real Time Embedded Systems</t>
        </is>
      </c>
    </row>
    <row r="37" ht="12.75" customHeight="1" s="55">
      <c r="A37" s="71" t="n">
        <v>27</v>
      </c>
      <c r="B37" s="71" t="n">
        <v>185002104</v>
      </c>
      <c r="C37" s="71" t="inlineStr">
        <is>
          <t>Sruthi Ashok Kumar</t>
        </is>
      </c>
      <c r="D37" s="71" t="inlineStr">
        <is>
          <t>UIT1621 - Real Time Embedded Systems</t>
        </is>
      </c>
    </row>
    <row r="38" ht="12.75" customHeight="1" s="55">
      <c r="A38" s="71" t="n">
        <v>28</v>
      </c>
      <c r="B38" s="71" t="n">
        <v>185002109</v>
      </c>
      <c r="C38" s="71" t="inlineStr">
        <is>
          <t xml:space="preserve">A. Swathi </t>
        </is>
      </c>
      <c r="D38" s="71" t="inlineStr">
        <is>
          <t>UIT1621 - Real Time Embedded Systems</t>
        </is>
      </c>
    </row>
    <row r="39" ht="12.75" customHeight="1" s="55">
      <c r="A39" s="71" t="n">
        <v>29</v>
      </c>
      <c r="B39" s="71" t="n">
        <v>185002118</v>
      </c>
      <c r="C39" s="71" t="inlineStr">
        <is>
          <t>Venkatesh Prasath.N</t>
        </is>
      </c>
      <c r="D39" s="71" t="inlineStr">
        <is>
          <t>UIT1621 - Real Time Embedded Systems</t>
        </is>
      </c>
    </row>
    <row r="40" ht="12.75" customHeight="1" s="55">
      <c r="A40" s="71" t="n">
        <v>30</v>
      </c>
      <c r="B40" s="71" t="n">
        <v>185002121</v>
      </c>
      <c r="C40" s="71" t="inlineStr">
        <is>
          <t>Vijay Anand M</t>
        </is>
      </c>
      <c r="D40" s="71" t="inlineStr">
        <is>
          <t>UIT1621 - Real Time Embedded Systems</t>
        </is>
      </c>
    </row>
    <row r="41" ht="12.75" customHeight="1" s="55">
      <c r="A41" s="71" t="n">
        <v>31</v>
      </c>
      <c r="B41" s="71" t="n">
        <v>185002701</v>
      </c>
      <c r="C41" s="71" t="inlineStr">
        <is>
          <t>DAPHNE EVANGELIN PRIYA RI</t>
        </is>
      </c>
      <c r="D41" s="71" t="inlineStr">
        <is>
          <t>UIT1621 - Real Time Embedded Systems</t>
        </is>
      </c>
    </row>
    <row r="42" ht="12.75" customHeight="1" s="55">
      <c r="A42" s="71" t="n">
        <v>32</v>
      </c>
      <c r="B42" s="71" t="n">
        <v>185002002</v>
      </c>
      <c r="C42" s="71" t="inlineStr">
        <is>
          <t>Abishek M</t>
        </is>
      </c>
      <c r="D42" s="71" t="inlineStr">
        <is>
          <t>UIT1625 - Analysis and Design of Service Oriented Architecture</t>
        </is>
      </c>
    </row>
    <row r="43" ht="12.75" customHeight="1" s="55">
      <c r="A43" s="71" t="n">
        <v>33</v>
      </c>
      <c r="B43" s="71" t="n">
        <v>185002004</v>
      </c>
      <c r="C43" s="71" t="inlineStr">
        <is>
          <t>Aishwarya Vaikundam R</t>
        </is>
      </c>
      <c r="D43" s="71" t="inlineStr">
        <is>
          <t>UIT1625 - Analysis and Design of Service Oriented Architecture</t>
        </is>
      </c>
    </row>
    <row r="44" ht="12.75" customHeight="1" s="55">
      <c r="A44" s="71" t="n">
        <v>34</v>
      </c>
      <c r="B44" s="71" t="n">
        <v>185002005</v>
      </c>
      <c r="C44" s="71" t="inlineStr">
        <is>
          <t>Ajay A</t>
        </is>
      </c>
      <c r="D44" s="71" t="inlineStr">
        <is>
          <t>UIT1625 - Analysis and Design of Service Oriented Architecture</t>
        </is>
      </c>
    </row>
    <row r="45" ht="12.75" customHeight="1" s="55">
      <c r="A45" s="71" t="n">
        <v>35</v>
      </c>
      <c r="B45" s="71" t="n">
        <v>185002006</v>
      </c>
      <c r="C45" s="71" t="inlineStr">
        <is>
          <t>Ajay.R</t>
        </is>
      </c>
      <c r="D45" s="71" t="inlineStr">
        <is>
          <t>UIT1625 - Analysis and Design of Service Oriented Architecture</t>
        </is>
      </c>
    </row>
    <row r="46" ht="12.75" customHeight="1" s="55">
      <c r="A46" s="71" t="n">
        <v>36</v>
      </c>
      <c r="B46" s="71" t="n">
        <v>185002008</v>
      </c>
      <c r="C46" s="71" t="inlineStr">
        <is>
          <t>Akshaya S</t>
        </is>
      </c>
      <c r="D46" s="71" t="inlineStr">
        <is>
          <t>UIT1625 - Analysis and Design of Service Oriented Architecture</t>
        </is>
      </c>
    </row>
    <row r="47" ht="12.75" customHeight="1" s="55">
      <c r="A47" s="71" t="n">
        <v>37</v>
      </c>
      <c r="B47" s="71" t="n">
        <v>185002009</v>
      </c>
      <c r="C47" s="71" t="inlineStr">
        <is>
          <t>Akshaya V S</t>
        </is>
      </c>
      <c r="D47" s="71" t="inlineStr">
        <is>
          <t>UIT1625 - Analysis and Design of Service Oriented Architecture</t>
        </is>
      </c>
    </row>
    <row r="48" ht="12.75" customHeight="1" s="55">
      <c r="A48" s="71" t="n">
        <v>38</v>
      </c>
      <c r="B48" s="71" t="n">
        <v>185002010</v>
      </c>
      <c r="C48" s="71" t="inlineStr">
        <is>
          <t>Alfrin A J</t>
        </is>
      </c>
      <c r="D48" s="71" t="inlineStr">
        <is>
          <t>UIT1625 - Analysis and Design of Service Oriented Architecture</t>
        </is>
      </c>
    </row>
    <row r="49" ht="12.75" customHeight="1" s="55">
      <c r="A49" s="71" t="n">
        <v>39</v>
      </c>
      <c r="B49" s="71" t="n">
        <v>185002012</v>
      </c>
      <c r="C49" s="71" t="inlineStr">
        <is>
          <t>Amritha.S</t>
        </is>
      </c>
      <c r="D49" s="71" t="inlineStr">
        <is>
          <t>UIT1625 - Analysis and Design of Service Oriented Architecture</t>
        </is>
      </c>
    </row>
    <row r="50" ht="12.75" customHeight="1" s="55">
      <c r="A50" s="71" t="n">
        <v>40</v>
      </c>
      <c r="B50" s="71" t="n">
        <v>185002013</v>
      </c>
      <c r="C50" s="71" t="inlineStr">
        <is>
          <t xml:space="preserve">V.Anoosh Solayappan </t>
        </is>
      </c>
      <c r="D50" s="71" t="inlineStr">
        <is>
          <t>UIT1625 - Analysis and Design of Service Oriented Architecture</t>
        </is>
      </c>
    </row>
    <row r="51" ht="12.75" customHeight="1" s="55">
      <c r="A51" s="71" t="n">
        <v>41</v>
      </c>
      <c r="B51" s="71" t="n">
        <v>185002019</v>
      </c>
      <c r="C51" s="71" t="inlineStr">
        <is>
          <t>R Badrinarayanan</t>
        </is>
      </c>
      <c r="D51" s="71" t="inlineStr">
        <is>
          <t>UIT1625 - Analysis and Design of Service Oriented Architecture</t>
        </is>
      </c>
    </row>
    <row r="52" ht="12.75" customHeight="1" s="55">
      <c r="A52" s="71" t="n">
        <v>42</v>
      </c>
      <c r="B52" s="71" t="n">
        <v>185002021</v>
      </c>
      <c r="C52" s="71" t="inlineStr">
        <is>
          <t>Brindha K</t>
        </is>
      </c>
      <c r="D52" s="71" t="inlineStr">
        <is>
          <t>UIT1625 - Analysis and Design of Service Oriented Architecture</t>
        </is>
      </c>
    </row>
    <row r="53" ht="12.75" customHeight="1" s="55">
      <c r="A53" s="71" t="n">
        <v>43</v>
      </c>
      <c r="B53" s="71" t="n">
        <v>185002022</v>
      </c>
      <c r="C53" s="71" t="inlineStr">
        <is>
          <t>Brindha S</t>
        </is>
      </c>
      <c r="D53" s="71" t="inlineStr">
        <is>
          <t>UIT1625 - Analysis and Design of Service Oriented Architecture</t>
        </is>
      </c>
    </row>
    <row r="54" ht="12.75" customHeight="1" s="55">
      <c r="A54" s="71" t="n">
        <v>44</v>
      </c>
      <c r="B54" s="71" t="n">
        <v>185002023</v>
      </c>
      <c r="C54" s="71" t="inlineStr">
        <is>
          <t>Bryan Ronnie J</t>
        </is>
      </c>
      <c r="D54" s="71" t="inlineStr">
        <is>
          <t>UIT1625 - Analysis and Design of Service Oriented Architecture</t>
        </is>
      </c>
    </row>
    <row r="55" ht="12.75" customHeight="1" s="55">
      <c r="A55" s="71" t="n">
        <v>45</v>
      </c>
      <c r="B55" s="71" t="n">
        <v>185002024</v>
      </c>
      <c r="C55" s="71" t="inlineStr">
        <is>
          <t>Ch.Haindhavi</t>
        </is>
      </c>
      <c r="D55" s="71" t="inlineStr">
        <is>
          <t>UIT1625 - Analysis and Design of Service Oriented Architecture</t>
        </is>
      </c>
    </row>
    <row r="56" ht="12.75" customHeight="1" s="55">
      <c r="A56" s="71" t="n">
        <v>46</v>
      </c>
      <c r="B56" s="71" t="n">
        <v>185002025</v>
      </c>
      <c r="C56" s="71" t="inlineStr">
        <is>
          <t>Dinesh Kumar E</t>
        </is>
      </c>
      <c r="D56" s="71" t="inlineStr">
        <is>
          <t>UIT1625 - Analysis and Design of Service Oriented Architecture</t>
        </is>
      </c>
    </row>
    <row r="57" ht="12.75" customHeight="1" s="55">
      <c r="A57" s="71" t="n">
        <v>47</v>
      </c>
      <c r="B57" s="71" t="n">
        <v>185002026</v>
      </c>
      <c r="C57" s="71" t="inlineStr">
        <is>
          <t>Divya R</t>
        </is>
      </c>
      <c r="D57" s="71" t="inlineStr">
        <is>
          <t>UIT1625 - Analysis and Design of Service Oriented Architecture</t>
        </is>
      </c>
    </row>
    <row r="58" ht="12.75" customHeight="1" s="55">
      <c r="A58" s="71" t="n">
        <v>48</v>
      </c>
      <c r="B58" s="71" t="n">
        <v>185002027</v>
      </c>
      <c r="C58" s="71" t="inlineStr">
        <is>
          <t>DIVYADHARSHINI R</t>
        </is>
      </c>
      <c r="D58" s="71" t="inlineStr">
        <is>
          <t>UIT1625 - Analysis and Design of Service Oriented Architecture</t>
        </is>
      </c>
    </row>
    <row r="59" ht="12.75" customHeight="1" s="55">
      <c r="A59" s="71" t="n">
        <v>49</v>
      </c>
      <c r="B59" s="71" t="n">
        <v>185002028</v>
      </c>
      <c r="C59" s="71" t="inlineStr">
        <is>
          <t>Elakkiya P</t>
        </is>
      </c>
      <c r="D59" s="71" t="inlineStr">
        <is>
          <t>UIT1625 - Analysis and Design of Service Oriented Architecture</t>
        </is>
      </c>
    </row>
    <row r="60" ht="12.75" customHeight="1" s="55">
      <c r="A60" s="71" t="n">
        <v>50</v>
      </c>
      <c r="B60" s="71" t="n">
        <v>185002030</v>
      </c>
      <c r="C60" s="71" t="inlineStr">
        <is>
          <t>Hamsini R S</t>
        </is>
      </c>
      <c r="D60" s="71" t="inlineStr">
        <is>
          <t>UIT1625 - Analysis and Design of Service Oriented Architecture</t>
        </is>
      </c>
    </row>
    <row r="61" ht="12.75" customHeight="1" s="55">
      <c r="A61" s="71" t="n">
        <v>51</v>
      </c>
      <c r="B61" s="71" t="n">
        <v>185002033</v>
      </c>
      <c r="C61" s="71" t="inlineStr">
        <is>
          <t>Harshavardhini G</t>
        </is>
      </c>
      <c r="D61" s="71" t="inlineStr">
        <is>
          <t>UIT1625 - Analysis and Design of Service Oriented Architecture</t>
        </is>
      </c>
    </row>
    <row r="62" ht="12.75" customHeight="1" s="55">
      <c r="A62" s="71" t="n">
        <v>52</v>
      </c>
      <c r="B62" s="71" t="n">
        <v>185002036</v>
      </c>
      <c r="C62" s="71" t="inlineStr">
        <is>
          <t>Harshini S</t>
        </is>
      </c>
      <c r="D62" s="71" t="inlineStr">
        <is>
          <t>UIT1625 - Analysis and Design of Service Oriented Architecture</t>
        </is>
      </c>
    </row>
    <row r="63" ht="12.75" customHeight="1" s="55">
      <c r="A63" s="71" t="n">
        <v>53</v>
      </c>
      <c r="B63" s="71" t="n">
        <v>185002037</v>
      </c>
      <c r="C63" s="71" t="inlineStr">
        <is>
          <t>Inamanamelluru K V Lakshmi Kalyani</t>
        </is>
      </c>
      <c r="D63" s="71" t="inlineStr">
        <is>
          <t>UIT1625 - Analysis and Design of Service Oriented Architecture</t>
        </is>
      </c>
    </row>
    <row r="64" ht="12.75" customHeight="1" s="55">
      <c r="A64" s="71" t="n">
        <v>54</v>
      </c>
      <c r="B64" s="71" t="n">
        <v>185002038</v>
      </c>
      <c r="C64" s="71" t="inlineStr">
        <is>
          <t>Indirapriyadarshini A</t>
        </is>
      </c>
      <c r="D64" s="71" t="inlineStr">
        <is>
          <t>UIT1625 - Analysis and Design of Service Oriented Architecture</t>
        </is>
      </c>
    </row>
    <row r="65" ht="12.75" customHeight="1" s="55">
      <c r="A65" s="71" t="n">
        <v>55</v>
      </c>
      <c r="B65" s="71" t="n">
        <v>185002040</v>
      </c>
      <c r="C65" s="71" t="inlineStr">
        <is>
          <t>Janice Marian Jockim</t>
        </is>
      </c>
      <c r="D65" s="71" t="inlineStr">
        <is>
          <t>UIT1625 - Analysis and Design of Service Oriented Architecture</t>
        </is>
      </c>
    </row>
    <row r="66" ht="12.75" customHeight="1" s="55">
      <c r="A66" s="71" t="n">
        <v>56</v>
      </c>
      <c r="B66" s="71" t="n">
        <v>185002041</v>
      </c>
      <c r="C66" s="71" t="inlineStr">
        <is>
          <t>Jayesh.L</t>
        </is>
      </c>
      <c r="D66" s="71" t="inlineStr">
        <is>
          <t>UIT1625 - Analysis and Design of Service Oriented Architecture</t>
        </is>
      </c>
    </row>
    <row r="67" ht="12.75" customHeight="1" s="55">
      <c r="A67" s="71" t="n">
        <v>57</v>
      </c>
      <c r="B67" s="71" t="n">
        <v>185002042</v>
      </c>
      <c r="C67" s="71" t="inlineStr">
        <is>
          <t>B.Jeevika</t>
        </is>
      </c>
      <c r="D67" s="71" t="inlineStr">
        <is>
          <t>UIT1625 - Analysis and Design of Service Oriented Architecture</t>
        </is>
      </c>
    </row>
    <row r="68" ht="12.75" customHeight="1" s="55">
      <c r="A68" s="71" t="n">
        <v>58</v>
      </c>
      <c r="B68" s="71" t="n">
        <v>185002043</v>
      </c>
      <c r="C68" s="71" t="inlineStr">
        <is>
          <t>Jifry Rose R V</t>
        </is>
      </c>
      <c r="D68" s="71" t="inlineStr">
        <is>
          <t>UIT1625 - Analysis and Design of Service Oriented Architecture</t>
        </is>
      </c>
    </row>
    <row r="69" ht="12.75" customHeight="1" s="55">
      <c r="A69" s="71" t="n">
        <v>59</v>
      </c>
      <c r="B69" s="71" t="n">
        <v>185002044</v>
      </c>
      <c r="C69" s="71" t="inlineStr">
        <is>
          <t>Jithesh Reddy M</t>
        </is>
      </c>
      <c r="D69" s="71" t="inlineStr">
        <is>
          <t>UIT1625 - Analysis and Design of Service Oriented Architecture</t>
        </is>
      </c>
    </row>
    <row r="70" ht="12.75" customHeight="1" s="55">
      <c r="A70" s="71" t="n">
        <v>60</v>
      </c>
      <c r="B70" s="71" t="n">
        <v>185002045</v>
      </c>
      <c r="C70" s="71" t="inlineStr">
        <is>
          <t>JOTHIKA R</t>
        </is>
      </c>
      <c r="D70" s="71" t="inlineStr">
        <is>
          <t>UIT1625 - Analysis and Design of Service Oriented Architecture</t>
        </is>
      </c>
    </row>
    <row r="71" ht="12.75" customHeight="1" s="55">
      <c r="A71" s="71" t="n">
        <v>61</v>
      </c>
      <c r="B71" s="71" t="n">
        <v>185002046</v>
      </c>
      <c r="C71" s="71" t="inlineStr">
        <is>
          <t>Kampalli kishore kumar</t>
        </is>
      </c>
      <c r="D71" s="71" t="inlineStr">
        <is>
          <t>UIT1625 - Analysis and Design of Service Oriented Architecture</t>
        </is>
      </c>
    </row>
    <row r="72" ht="12.75" customHeight="1" s="55">
      <c r="A72" s="71" t="n">
        <v>62</v>
      </c>
      <c r="B72" s="71" t="n">
        <v>185002047</v>
      </c>
      <c r="C72" s="71" t="inlineStr">
        <is>
          <t>K Bhavana</t>
        </is>
      </c>
      <c r="D72" s="71" t="inlineStr">
        <is>
          <t>UIT1625 - Analysis and Design of Service Oriented Architecture</t>
        </is>
      </c>
    </row>
    <row r="73" ht="12.75" customHeight="1" s="55">
      <c r="A73" s="71" t="n">
        <v>63</v>
      </c>
      <c r="B73" s="71" t="n">
        <v>185002048</v>
      </c>
      <c r="C73" s="71" t="inlineStr">
        <is>
          <t>Katti Siddhartha Sankar</t>
        </is>
      </c>
      <c r="D73" s="71" t="inlineStr">
        <is>
          <t>UIT1625 - Analysis and Design of Service Oriented Architecture</t>
        </is>
      </c>
    </row>
    <row r="74" ht="12.75" customHeight="1" s="55">
      <c r="A74" s="71" t="n">
        <v>64</v>
      </c>
      <c r="B74" s="71" t="n">
        <v>185002050</v>
      </c>
      <c r="C74" s="71" t="inlineStr">
        <is>
          <t>K Vikas Chowdary</t>
        </is>
      </c>
      <c r="D74" s="71" t="inlineStr">
        <is>
          <t>UIT1625 - Analysis and Design of Service Oriented Architecture</t>
        </is>
      </c>
    </row>
    <row r="75" ht="12.75" customHeight="1" s="55">
      <c r="A75" s="71" t="n">
        <v>65</v>
      </c>
      <c r="B75" s="71" t="n">
        <v>185002054</v>
      </c>
      <c r="C75" s="71" t="inlineStr">
        <is>
          <t>V.MADHAVAN</t>
        </is>
      </c>
      <c r="D75" s="71" t="inlineStr">
        <is>
          <t>UIT1625 - Analysis and Design of Service Oriented Architecture</t>
        </is>
      </c>
    </row>
    <row r="76" ht="12.75" customHeight="1" s="55">
      <c r="A76" s="71" t="n">
        <v>66</v>
      </c>
      <c r="B76" s="71" t="n">
        <v>185002055</v>
      </c>
      <c r="C76" s="71" t="inlineStr">
        <is>
          <t>Madhumita L</t>
        </is>
      </c>
      <c r="D76" s="71" t="inlineStr">
        <is>
          <t>UIT1625 - Analysis and Design of Service Oriented Architecture</t>
        </is>
      </c>
    </row>
    <row r="77" ht="12.75" customHeight="1" s="55">
      <c r="A77" s="71" t="n">
        <v>67</v>
      </c>
      <c r="B77" s="71" t="n">
        <v>185002056</v>
      </c>
      <c r="C77" s="71" t="inlineStr">
        <is>
          <t>Mahima</t>
        </is>
      </c>
      <c r="D77" s="71" t="inlineStr">
        <is>
          <t>UIT1625 - Analysis and Design of Service Oriented Architecture</t>
        </is>
      </c>
    </row>
    <row r="78" ht="12.75" customHeight="1" s="55">
      <c r="A78" s="71" t="n">
        <v>68</v>
      </c>
      <c r="B78" s="71" t="n">
        <v>185002057</v>
      </c>
      <c r="C78" s="71" t="inlineStr">
        <is>
          <t>Vyshnavi</t>
        </is>
      </c>
      <c r="D78" s="71" t="inlineStr">
        <is>
          <t>UIT1625 - Analysis and Design of Service Oriented Architecture</t>
        </is>
      </c>
    </row>
    <row r="79" ht="12.75" customHeight="1" s="55">
      <c r="A79" s="71" t="n">
        <v>69</v>
      </c>
      <c r="B79" s="71" t="n">
        <v>185002058</v>
      </c>
      <c r="C79" s="71" t="inlineStr">
        <is>
          <t>Manikandan S</t>
        </is>
      </c>
      <c r="D79" s="71" t="inlineStr">
        <is>
          <t>UIT1625 - Analysis and Design of Service Oriented Architecture</t>
        </is>
      </c>
    </row>
    <row r="80" ht="12.75" customHeight="1" s="55">
      <c r="A80" s="71" t="n">
        <v>70</v>
      </c>
      <c r="B80" s="71" t="n">
        <v>185002059</v>
      </c>
      <c r="C80" s="71" t="inlineStr">
        <is>
          <t>Manisha G.</t>
        </is>
      </c>
      <c r="D80" s="71" t="inlineStr">
        <is>
          <t>UIT1625 - Analysis and Design of Service Oriented Architecture</t>
        </is>
      </c>
    </row>
    <row r="81" ht="12.75" customHeight="1" s="55">
      <c r="A81" s="71" t="n">
        <v>71</v>
      </c>
      <c r="B81" s="71" t="n">
        <v>185002060</v>
      </c>
      <c r="C81" s="71" t="inlineStr">
        <is>
          <t>Meghana K</t>
        </is>
      </c>
      <c r="D81" s="71" t="inlineStr">
        <is>
          <t>UIT1625 - Analysis and Design of Service Oriented Architecture</t>
        </is>
      </c>
    </row>
    <row r="82" ht="12.75" customHeight="1" s="55">
      <c r="A82" s="71" t="n">
        <v>72</v>
      </c>
      <c r="B82" s="71" t="n">
        <v>185002061</v>
      </c>
      <c r="C82" s="71" t="inlineStr">
        <is>
          <t>METTUKURU AVINASH REDDY</t>
        </is>
      </c>
      <c r="D82" s="71" t="inlineStr">
        <is>
          <t>UIT1625 - Analysis and Design of Service Oriented Architecture</t>
        </is>
      </c>
    </row>
    <row r="83" ht="12.75" customHeight="1" s="55">
      <c r="A83" s="71" t="n">
        <v>73</v>
      </c>
      <c r="B83" s="71" t="n">
        <v>185002062</v>
      </c>
      <c r="C83" s="71" t="inlineStr">
        <is>
          <t>Michael Suguna Kumar V</t>
        </is>
      </c>
      <c r="D83" s="71" t="inlineStr">
        <is>
          <t>UIT1625 - Analysis and Design of Service Oriented Architecture</t>
        </is>
      </c>
    </row>
    <row r="84" ht="12.75" customHeight="1" s="55">
      <c r="A84" s="71" t="n">
        <v>74</v>
      </c>
      <c r="B84" s="71" t="n">
        <v>185002063</v>
      </c>
      <c r="C84" s="71" t="inlineStr">
        <is>
          <t xml:space="preserve">Mohamed Jameel A H </t>
        </is>
      </c>
      <c r="D84" s="71" t="inlineStr">
        <is>
          <t>UIT1625 - Analysis and Design of Service Oriented Architecture</t>
        </is>
      </c>
    </row>
    <row r="85" ht="12.75" customHeight="1" s="55">
      <c r="A85" s="71" t="n">
        <v>75</v>
      </c>
      <c r="B85" s="71" t="n">
        <v>185002064</v>
      </c>
      <c r="C85" s="71" t="inlineStr">
        <is>
          <t>M.V.Sukesh Pavan Kumar</t>
        </is>
      </c>
      <c r="D85" s="71" t="inlineStr">
        <is>
          <t>UIT1625 - Analysis and Design of Service Oriented Architecture</t>
        </is>
      </c>
    </row>
    <row r="86" ht="12.75" customHeight="1" s="55">
      <c r="A86" s="71" t="n">
        <v>76</v>
      </c>
      <c r="B86" s="71" t="n">
        <v>185002067</v>
      </c>
      <c r="C86" s="71" t="inlineStr">
        <is>
          <t>Nithin Narayanan G</t>
        </is>
      </c>
      <c r="D86" s="71" t="inlineStr">
        <is>
          <t>UIT1625 - Analysis and Design of Service Oriented Architecture</t>
        </is>
      </c>
    </row>
    <row r="87" ht="12.75" customHeight="1" s="55">
      <c r="A87" s="71" t="n">
        <v>77</v>
      </c>
      <c r="B87" s="71" t="n">
        <v>185002068</v>
      </c>
      <c r="C87" s="71" t="inlineStr">
        <is>
          <t>Nithish B</t>
        </is>
      </c>
      <c r="D87" s="71" t="inlineStr">
        <is>
          <t>UIT1625 - Analysis and Design of Service Oriented Architecture</t>
        </is>
      </c>
    </row>
    <row r="88" ht="12.75" customHeight="1" s="55">
      <c r="A88" s="71" t="n">
        <v>78</v>
      </c>
      <c r="B88" s="71" t="n">
        <v>185002069</v>
      </c>
      <c r="C88" s="71" t="inlineStr">
        <is>
          <t>Nithyashree N</t>
        </is>
      </c>
      <c r="D88" s="71" t="inlineStr">
        <is>
          <t>UIT1625 - Analysis and Design of Service Oriented Architecture</t>
        </is>
      </c>
    </row>
    <row r="89" ht="12.75" customHeight="1" s="55">
      <c r="A89" s="71" t="n">
        <v>79</v>
      </c>
      <c r="B89" s="71" t="n">
        <v>185002070</v>
      </c>
      <c r="C89" s="71" t="inlineStr">
        <is>
          <t>Nivethitha.M</t>
        </is>
      </c>
      <c r="D89" s="71" t="inlineStr">
        <is>
          <t>UIT1625 - Analysis and Design of Service Oriented Architecture</t>
        </is>
      </c>
    </row>
    <row r="90" ht="12.75" customHeight="1" s="55">
      <c r="A90" s="71" t="n">
        <v>80</v>
      </c>
      <c r="B90" s="71" t="n">
        <v>185002072</v>
      </c>
      <c r="C90" s="71" t="inlineStr">
        <is>
          <t>Pakkeer Mydeen N</t>
        </is>
      </c>
      <c r="D90" s="71" t="inlineStr">
        <is>
          <t>UIT1625 - Analysis and Design of Service Oriented Architecture</t>
        </is>
      </c>
    </row>
    <row r="91" ht="12.75" customHeight="1" s="55">
      <c r="A91" s="71" t="n">
        <v>81</v>
      </c>
      <c r="B91" s="71" t="n">
        <v>185002073</v>
      </c>
      <c r="C91" s="71" t="inlineStr">
        <is>
          <t xml:space="preserve">PASALA RAJITHA LAKSHMI </t>
        </is>
      </c>
      <c r="D91" s="71" t="inlineStr">
        <is>
          <t>UIT1625 - Analysis and Design of Service Oriented Architecture</t>
        </is>
      </c>
    </row>
    <row r="92" ht="12.75" customHeight="1" s="55">
      <c r="A92" s="71" t="n">
        <v>82</v>
      </c>
      <c r="B92" s="71" t="n">
        <v>185002074</v>
      </c>
      <c r="C92" s="71" t="inlineStr">
        <is>
          <t>Pranava krishna.m</t>
        </is>
      </c>
      <c r="D92" s="71" t="inlineStr">
        <is>
          <t>UIT1625 - Analysis and Design of Service Oriented Architecture</t>
        </is>
      </c>
    </row>
    <row r="93" ht="12.75" customHeight="1" s="55">
      <c r="A93" s="71" t="n">
        <v>83</v>
      </c>
      <c r="B93" s="71" t="n">
        <v>185002075</v>
      </c>
      <c r="C93" s="71" t="inlineStr">
        <is>
          <t>PRAVIN VARMA V</t>
        </is>
      </c>
      <c r="D93" s="71" t="inlineStr">
        <is>
          <t>UIT1625 - Analysis and Design of Service Oriented Architecture</t>
        </is>
      </c>
    </row>
    <row r="94" ht="12.75" customHeight="1" s="55">
      <c r="A94" s="71" t="n">
        <v>84</v>
      </c>
      <c r="B94" s="71" t="n">
        <v>185002076</v>
      </c>
      <c r="C94" s="71" t="inlineStr">
        <is>
          <t>Preetha.V</t>
        </is>
      </c>
      <c r="D94" s="71" t="inlineStr">
        <is>
          <t>UIT1625 - Analysis and Design of Service Oriented Architecture</t>
        </is>
      </c>
    </row>
    <row r="95" ht="12.75" customHeight="1" s="55">
      <c r="A95" s="71" t="n">
        <v>85</v>
      </c>
      <c r="B95" s="71" t="n">
        <v>185002078</v>
      </c>
      <c r="C95" s="71" t="inlineStr">
        <is>
          <t>Ram Prakash KCP</t>
        </is>
      </c>
      <c r="D95" s="71" t="inlineStr">
        <is>
          <t>UIT1625 - Analysis and Design of Service Oriented Architecture</t>
        </is>
      </c>
    </row>
    <row r="96" ht="12.75" customHeight="1" s="55">
      <c r="A96" s="71" t="n">
        <v>86</v>
      </c>
      <c r="B96" s="71" t="n">
        <v>185002079</v>
      </c>
      <c r="C96" s="71" t="inlineStr">
        <is>
          <t>RAMISETTY SASANK</t>
        </is>
      </c>
      <c r="D96" s="71" t="inlineStr">
        <is>
          <t>UIT1625 - Analysis and Design of Service Oriented Architecture</t>
        </is>
      </c>
    </row>
    <row r="97" ht="12.75" customHeight="1" s="55">
      <c r="A97" s="71" t="n">
        <v>87</v>
      </c>
      <c r="B97" s="71" t="n">
        <v>185002080</v>
      </c>
      <c r="C97" s="71" t="inlineStr">
        <is>
          <t>Rithanya S</t>
        </is>
      </c>
      <c r="D97" s="71" t="inlineStr">
        <is>
          <t>UIT1625 - Analysis and Design of Service Oriented Architecture</t>
        </is>
      </c>
    </row>
    <row r="98" ht="12.75" customHeight="1" s="55">
      <c r="A98" s="71" t="n">
        <v>88</v>
      </c>
      <c r="B98" s="71" t="n">
        <v>185002081</v>
      </c>
      <c r="C98" s="71" t="inlineStr">
        <is>
          <t>C. M. Ritika</t>
        </is>
      </c>
      <c r="D98" s="71" t="inlineStr">
        <is>
          <t>UIT1625 - Analysis and Design of Service Oriented Architecture</t>
        </is>
      </c>
    </row>
    <row r="99" ht="12.75" customHeight="1" s="55">
      <c r="A99" s="71" t="n">
        <v>89</v>
      </c>
      <c r="B99" s="71" t="n">
        <v>185002082</v>
      </c>
      <c r="C99" s="71" t="inlineStr">
        <is>
          <t>Saai Sindhoora G</t>
        </is>
      </c>
      <c r="D99" s="71" t="inlineStr">
        <is>
          <t>UIT1625 - Analysis and Design of Service Oriented Architecture</t>
        </is>
      </c>
    </row>
    <row r="100" ht="12.75" customHeight="1" s="55">
      <c r="A100" s="71" t="n">
        <v>90</v>
      </c>
      <c r="B100" s="71" t="n">
        <v>185002083</v>
      </c>
      <c r="C100" s="71" t="inlineStr">
        <is>
          <t>Sabihah.B</t>
        </is>
      </c>
      <c r="D100" s="71" t="inlineStr">
        <is>
          <t>UIT1625 - Analysis and Design of Service Oriented Architecture</t>
        </is>
      </c>
    </row>
    <row r="101" ht="12.75" customHeight="1" s="55">
      <c r="A101" s="71" t="n">
        <v>91</v>
      </c>
      <c r="B101" s="71" t="n">
        <v>185002084</v>
      </c>
      <c r="C101" s="71" t="inlineStr">
        <is>
          <t>Safin Abdul Nazar</t>
        </is>
      </c>
      <c r="D101" s="71" t="inlineStr">
        <is>
          <t>UIT1625 - Analysis and Design of Service Oriented Architecture</t>
        </is>
      </c>
    </row>
    <row r="102" ht="12.75" customHeight="1" s="55">
      <c r="A102" s="71" t="n">
        <v>92</v>
      </c>
      <c r="B102" s="71" t="n">
        <v>185002086</v>
      </c>
      <c r="C102" s="71" t="inlineStr">
        <is>
          <t>Sandeep S</t>
        </is>
      </c>
      <c r="D102" s="71" t="inlineStr">
        <is>
          <t>UIT1625 - Analysis and Design of Service Oriented Architecture</t>
        </is>
      </c>
    </row>
    <row r="103" ht="12.75" customHeight="1" s="55">
      <c r="A103" s="71" t="n">
        <v>93</v>
      </c>
      <c r="B103" s="71" t="n">
        <v>185002087</v>
      </c>
      <c r="C103" s="71" t="inlineStr">
        <is>
          <t xml:space="preserve">Sanjay Bharathi S </t>
        </is>
      </c>
      <c r="D103" s="71" t="inlineStr">
        <is>
          <t>UIT1625 - Analysis and Design of Service Oriented Architecture</t>
        </is>
      </c>
    </row>
    <row r="104" ht="12.75" customHeight="1" s="55">
      <c r="A104" s="71" t="n">
        <v>94</v>
      </c>
      <c r="B104" s="71" t="n">
        <v>185002088</v>
      </c>
      <c r="C104" s="71" t="inlineStr">
        <is>
          <t>Sanjay Kumar K</t>
        </is>
      </c>
      <c r="D104" s="71" t="inlineStr">
        <is>
          <t>UIT1625 - Analysis and Design of Service Oriented Architecture</t>
        </is>
      </c>
    </row>
    <row r="105" ht="12.75" customHeight="1" s="55">
      <c r="A105" s="71" t="n">
        <v>95</v>
      </c>
      <c r="B105" s="71" t="n">
        <v>185002089</v>
      </c>
      <c r="C105" s="71" t="inlineStr">
        <is>
          <t>Saravanan V</t>
        </is>
      </c>
      <c r="D105" s="71" t="inlineStr">
        <is>
          <t>UIT1625 - Analysis and Design of Service Oriented Architecture</t>
        </is>
      </c>
    </row>
    <row r="106" ht="12.75" customHeight="1" s="55">
      <c r="A106" s="71" t="n">
        <v>96</v>
      </c>
      <c r="B106" s="71" t="n">
        <v>185002091</v>
      </c>
      <c r="C106" s="71" t="inlineStr">
        <is>
          <t>Shamitha D</t>
        </is>
      </c>
      <c r="D106" s="71" t="inlineStr">
        <is>
          <t>UIT1625 - Analysis and Design of Service Oriented Architecture</t>
        </is>
      </c>
    </row>
    <row r="107" ht="12.75" customHeight="1" s="55">
      <c r="A107" s="71" t="n">
        <v>97</v>
      </c>
      <c r="B107" s="71" t="n">
        <v>185002092</v>
      </c>
      <c r="C107" s="71" t="inlineStr">
        <is>
          <t>Shivaani T</t>
        </is>
      </c>
      <c r="D107" s="71" t="inlineStr">
        <is>
          <t>UIT1625 - Analysis and Design of Service Oriented Architecture</t>
        </is>
      </c>
    </row>
    <row r="108" ht="12.75" customHeight="1" s="55">
      <c r="A108" s="71" t="n">
        <v>98</v>
      </c>
      <c r="B108" s="71" t="n">
        <v>185002094</v>
      </c>
      <c r="C108" s="71" t="inlineStr">
        <is>
          <t>Shobia V</t>
        </is>
      </c>
      <c r="D108" s="71" t="inlineStr">
        <is>
          <t>UIT1625 - Analysis and Design of Service Oriented Architecture</t>
        </is>
      </c>
    </row>
    <row r="109" ht="12.75" customHeight="1" s="55">
      <c r="A109" s="71" t="n">
        <v>99</v>
      </c>
      <c r="B109" s="71" t="n">
        <v>185002095</v>
      </c>
      <c r="C109" s="71" t="inlineStr">
        <is>
          <t>Shruthi Arun</t>
        </is>
      </c>
      <c r="D109" s="71" t="inlineStr">
        <is>
          <t>UIT1625 - Analysis and Design of Service Oriented Architecture</t>
        </is>
      </c>
    </row>
    <row r="110" ht="12.75" customHeight="1" s="55">
      <c r="A110" s="71" t="n">
        <v>100</v>
      </c>
      <c r="B110" s="71" t="n">
        <v>185002096</v>
      </c>
      <c r="C110" s="71" t="inlineStr">
        <is>
          <t>Siddharth S</t>
        </is>
      </c>
      <c r="D110" s="71" t="inlineStr">
        <is>
          <t>UIT1625 - Analysis and Design of Service Oriented Architecture</t>
        </is>
      </c>
    </row>
    <row r="111" ht="12.75" customHeight="1" s="55">
      <c r="A111" s="71" t="n">
        <v>101</v>
      </c>
      <c r="B111" s="71" t="n">
        <v>185002097</v>
      </c>
      <c r="C111" s="71" t="inlineStr">
        <is>
          <t>Smithi P</t>
        </is>
      </c>
      <c r="D111" s="71" t="inlineStr">
        <is>
          <t>UIT1625 - Analysis and Design of Service Oriented Architecture</t>
        </is>
      </c>
    </row>
    <row r="112" ht="12.75" customHeight="1" s="55">
      <c r="A112" s="71" t="n">
        <v>102</v>
      </c>
      <c r="B112" s="71" t="n">
        <v>185002098</v>
      </c>
      <c r="C112" s="71" t="inlineStr">
        <is>
          <t>Sneha C M</t>
        </is>
      </c>
      <c r="D112" s="71" t="inlineStr">
        <is>
          <t>UIT1625 - Analysis and Design of Service Oriented Architecture</t>
        </is>
      </c>
    </row>
    <row r="113" ht="12.75" customHeight="1" s="55">
      <c r="A113" s="71" t="n">
        <v>103</v>
      </c>
      <c r="B113" s="71" t="n">
        <v>185002099</v>
      </c>
      <c r="C113" s="71" t="inlineStr">
        <is>
          <t>Sneha S</t>
        </is>
      </c>
      <c r="D113" s="71" t="inlineStr">
        <is>
          <t>UIT1625 - Analysis and Design of Service Oriented Architecture</t>
        </is>
      </c>
    </row>
    <row r="114" ht="12.75" customHeight="1" s="55">
      <c r="A114" s="71" t="n">
        <v>104</v>
      </c>
      <c r="B114" s="71" t="n">
        <v>185002100</v>
      </c>
      <c r="C114" s="71" t="inlineStr">
        <is>
          <t>B.Sridarshan</t>
        </is>
      </c>
      <c r="D114" s="71" t="inlineStr">
        <is>
          <t>UIT1625 - Analysis and Design of Service Oriented Architecture</t>
        </is>
      </c>
    </row>
    <row r="115" ht="12.75" customHeight="1" s="55">
      <c r="A115" s="71" t="n">
        <v>105</v>
      </c>
      <c r="B115" s="71" t="n">
        <v>185002102</v>
      </c>
      <c r="C115" s="71" t="inlineStr">
        <is>
          <t>Sriram Na.</t>
        </is>
      </c>
      <c r="D115" s="71" t="inlineStr">
        <is>
          <t>UIT1625 - Analysis and Design of Service Oriented Architecture</t>
        </is>
      </c>
    </row>
    <row r="116" ht="12.75" customHeight="1" s="55">
      <c r="A116" s="71" t="n">
        <v>106</v>
      </c>
      <c r="B116" s="71" t="n">
        <v>185002103</v>
      </c>
      <c r="C116" s="71" t="inlineStr">
        <is>
          <t>N.Srividhya</t>
        </is>
      </c>
      <c r="D116" s="71" t="inlineStr">
        <is>
          <t>UIT1625 - Analysis and Design of Service Oriented Architecture</t>
        </is>
      </c>
    </row>
    <row r="117" ht="12.75" customHeight="1" s="55">
      <c r="A117" s="71" t="n">
        <v>107</v>
      </c>
      <c r="B117" s="71" t="n">
        <v>185002105</v>
      </c>
      <c r="C117" s="71" t="inlineStr">
        <is>
          <t>Subash R</t>
        </is>
      </c>
      <c r="D117" s="71" t="inlineStr">
        <is>
          <t>UIT1625 - Analysis and Design of Service Oriented Architecture</t>
        </is>
      </c>
    </row>
    <row r="118" ht="12.75" customHeight="1" s="55">
      <c r="A118" s="71" t="n">
        <v>108</v>
      </c>
      <c r="B118" s="71" t="n">
        <v>185002106</v>
      </c>
      <c r="C118" s="71" t="inlineStr">
        <is>
          <t>R Sumanth Subramanian</t>
        </is>
      </c>
      <c r="D118" s="71" t="inlineStr">
        <is>
          <t>UIT1625 - Analysis and Design of Service Oriented Architecture</t>
        </is>
      </c>
    </row>
    <row r="119" ht="12.75" customHeight="1" s="55">
      <c r="A119" s="71" t="n">
        <v>109</v>
      </c>
      <c r="B119" s="71" t="n">
        <v>185002107</v>
      </c>
      <c r="C119" s="71" t="inlineStr">
        <is>
          <t>Surya PS</t>
        </is>
      </c>
      <c r="D119" s="71" t="inlineStr">
        <is>
          <t>UIT1625 - Analysis and Design of Service Oriented Architecture</t>
        </is>
      </c>
    </row>
    <row r="120" ht="12.75" customHeight="1" s="55">
      <c r="A120" s="71" t="n">
        <v>110</v>
      </c>
      <c r="B120" s="71" t="n">
        <v>185002108</v>
      </c>
      <c r="C120" s="71" t="inlineStr">
        <is>
          <t xml:space="preserve">Suthakar K </t>
        </is>
      </c>
      <c r="D120" s="71" t="inlineStr">
        <is>
          <t>UIT1625 - Analysis and Design of Service Oriented Architecture</t>
        </is>
      </c>
    </row>
    <row r="121" ht="12.75" customHeight="1" s="55">
      <c r="A121" s="71" t="n">
        <v>111</v>
      </c>
      <c r="B121" s="71" t="n">
        <v>185002110</v>
      </c>
      <c r="C121" s="71" t="inlineStr">
        <is>
          <t>Swathika.B</t>
        </is>
      </c>
      <c r="D121" s="71" t="inlineStr">
        <is>
          <t>UIT1625 - Analysis and Design of Service Oriented Architecture</t>
        </is>
      </c>
    </row>
    <row r="122" ht="12.75" customHeight="1" s="55">
      <c r="A122" s="71" t="n">
        <v>112</v>
      </c>
      <c r="B122" s="71" t="n">
        <v>185002111</v>
      </c>
      <c r="C122" s="71" t="inlineStr">
        <is>
          <t>Swetha.V</t>
        </is>
      </c>
      <c r="D122" s="71" t="inlineStr">
        <is>
          <t>UIT1625 - Analysis and Design of Service Oriented Architecture</t>
        </is>
      </c>
    </row>
    <row r="123" ht="12.75" customHeight="1" s="55">
      <c r="A123" s="71" t="n">
        <v>113</v>
      </c>
      <c r="B123" s="71" t="n">
        <v>185002112</v>
      </c>
      <c r="C123" s="71" t="inlineStr">
        <is>
          <t>Swetha.V</t>
        </is>
      </c>
      <c r="D123" s="71" t="inlineStr">
        <is>
          <t>UIT1625 - Analysis and Design of Service Oriented Architecture</t>
        </is>
      </c>
    </row>
    <row r="124" ht="12.75" customHeight="1" s="55">
      <c r="A124" s="71" t="n">
        <v>114</v>
      </c>
      <c r="B124" s="71" t="n">
        <v>185002113</v>
      </c>
      <c r="C124" s="71" t="inlineStr">
        <is>
          <t>Telanakula Venkata Yaswanth</t>
        </is>
      </c>
      <c r="D124" s="71" t="inlineStr">
        <is>
          <t>UIT1625 - Analysis and Design of Service Oriented Architecture</t>
        </is>
      </c>
    </row>
    <row r="125" ht="12.75" customHeight="1" s="55">
      <c r="A125" s="71" t="n">
        <v>115</v>
      </c>
      <c r="B125" s="71" t="n">
        <v>185002114</v>
      </c>
      <c r="C125" s="71" t="inlineStr">
        <is>
          <t>Theevika B</t>
        </is>
      </c>
      <c r="D125" s="71" t="inlineStr">
        <is>
          <t>UIT1625 - Analysis and Design of Service Oriented Architecture</t>
        </is>
      </c>
    </row>
    <row r="126" ht="12.75" customHeight="1" s="55">
      <c r="A126" s="71" t="n">
        <v>116</v>
      </c>
      <c r="B126" s="71" t="n">
        <v>185002115</v>
      </c>
      <c r="C126" s="71" t="inlineStr">
        <is>
          <t xml:space="preserve">Vaishnavi devi KS </t>
        </is>
      </c>
      <c r="D126" s="71" t="inlineStr">
        <is>
          <t>UIT1625 - Analysis and Design of Service Oriented Architecture</t>
        </is>
      </c>
    </row>
    <row r="127" ht="12.75" customHeight="1" s="55">
      <c r="A127" s="71" t="n">
        <v>117</v>
      </c>
      <c r="B127" s="71" t="n">
        <v>185002116</v>
      </c>
      <c r="C127" s="71" t="inlineStr">
        <is>
          <t>Vaishnavi k</t>
        </is>
      </c>
      <c r="D127" s="71" t="inlineStr">
        <is>
          <t>UIT1625 - Analysis and Design of Service Oriented Architecture</t>
        </is>
      </c>
    </row>
    <row r="128" ht="12.75" customHeight="1" s="55">
      <c r="A128" s="71" t="n">
        <v>118</v>
      </c>
      <c r="B128" s="71" t="n">
        <v>185002117</v>
      </c>
      <c r="C128" s="71" t="inlineStr">
        <is>
          <t xml:space="preserve">V.VARSHINI </t>
        </is>
      </c>
      <c r="D128" s="71" t="inlineStr">
        <is>
          <t>UIT1625 - Analysis and Design of Service Oriented Architecture</t>
        </is>
      </c>
    </row>
    <row r="129" ht="12.75" customHeight="1" s="55">
      <c r="A129" s="71" t="n">
        <v>119</v>
      </c>
      <c r="B129" s="71" t="n">
        <v>185002119</v>
      </c>
      <c r="C129" s="71" t="inlineStr">
        <is>
          <t>VENMATHI K R</t>
        </is>
      </c>
      <c r="D129" s="71" t="inlineStr">
        <is>
          <t>UIT1625 - Analysis and Design of Service Oriented Architecture</t>
        </is>
      </c>
    </row>
    <row r="130" ht="12.75" customHeight="1" s="55">
      <c r="A130" s="71" t="n">
        <v>120</v>
      </c>
      <c r="B130" s="71" t="n">
        <v>185002120</v>
      </c>
      <c r="C130" s="71" t="inlineStr">
        <is>
          <t>Vigneswaran S</t>
        </is>
      </c>
      <c r="D130" s="71" t="inlineStr">
        <is>
          <t>UIT1625 - Analysis and Design of Service Oriented Architecture</t>
        </is>
      </c>
    </row>
    <row r="131" ht="12.75" customHeight="1" s="55">
      <c r="A131" s="71" t="n">
        <v>121</v>
      </c>
      <c r="B131" s="71" t="n">
        <v>185002122</v>
      </c>
      <c r="C131" s="71" t="inlineStr">
        <is>
          <t>Vinish E</t>
        </is>
      </c>
      <c r="D131" s="71" t="inlineStr">
        <is>
          <t>UIT1625 - Analysis and Design of Service Oriented Architecture</t>
        </is>
      </c>
    </row>
    <row r="132" ht="12.75" customHeight="1" s="55">
      <c r="A132" s="71" t="n">
        <v>122</v>
      </c>
      <c r="B132" s="71" t="n">
        <v>185002123</v>
      </c>
      <c r="C132" s="71" t="inlineStr">
        <is>
          <t>Vishaq J Kumar</t>
        </is>
      </c>
      <c r="D132" s="71" t="inlineStr">
        <is>
          <t>UIT1625 - Analysis and Design of Service Oriented Architecture</t>
        </is>
      </c>
    </row>
    <row r="133" ht="12.75" customHeight="1" s="55">
      <c r="A133" s="71" t="n">
        <v>123</v>
      </c>
      <c r="B133" s="71" t="n">
        <v>185002124</v>
      </c>
      <c r="C133" s="71" t="inlineStr">
        <is>
          <t xml:space="preserve">Vishnu Prakash Prasannan </t>
        </is>
      </c>
      <c r="D133" s="71" t="inlineStr">
        <is>
          <t>UIT1625 - Analysis and Design of Service Oriented Architecture</t>
        </is>
      </c>
    </row>
    <row r="134" ht="12.75" customHeight="1" s="55">
      <c r="A134" s="71" t="n">
        <v>124</v>
      </c>
      <c r="B134" s="71" t="n">
        <v>185002125</v>
      </c>
      <c r="C134" s="71" t="inlineStr">
        <is>
          <t>Vishnuvazzala Laasya Subramanyam</t>
        </is>
      </c>
      <c r="D134" s="71" t="inlineStr">
        <is>
          <t>UIT1625 - Analysis and Design of Service Oriented Architecture</t>
        </is>
      </c>
    </row>
    <row r="135" ht="12.75" customHeight="1" s="55">
      <c r="A135" s="71" t="n">
        <v>125</v>
      </c>
      <c r="B135" s="71" t="n">
        <v>185002126</v>
      </c>
      <c r="C135" s="71" t="inlineStr">
        <is>
          <t>Visvesh R</t>
        </is>
      </c>
      <c r="D135" s="71" t="inlineStr">
        <is>
          <t>UIT1625 - Analysis and Design of Service Oriented Architecture</t>
        </is>
      </c>
    </row>
    <row r="136" ht="12.75" customHeight="1" s="55">
      <c r="A136" s="71" t="n">
        <v>126</v>
      </c>
      <c r="B136" s="71" t="n">
        <v>185002301</v>
      </c>
      <c r="C136" s="71" t="inlineStr">
        <is>
          <t>Jesone c.j. Sam</t>
        </is>
      </c>
      <c r="D136" s="71" t="inlineStr">
        <is>
          <t>UIT1625 - Analysis and Design of Service Oriented Architecture</t>
        </is>
      </c>
    </row>
    <row r="137" ht="12.75" customHeight="1" s="55">
      <c r="A137" s="71" t="n">
        <v>127</v>
      </c>
      <c r="B137" s="71" t="n">
        <v>185002302</v>
      </c>
      <c r="C137" s="71" t="inlineStr">
        <is>
          <t>kishan raj.R</t>
        </is>
      </c>
      <c r="D137" s="71" t="inlineStr">
        <is>
          <t>UIT1625 - Analysis and Design of Service Oriented Architecture</t>
        </is>
      </c>
    </row>
    <row r="138" ht="12.75" customHeight="1" s="55">
      <c r="A138" s="71" t="n">
        <v>128</v>
      </c>
      <c r="B138" s="71" t="n">
        <v>185002304</v>
      </c>
      <c r="C138" s="71" t="inlineStr">
        <is>
          <t>Praveen kumar P</t>
        </is>
      </c>
      <c r="D138" s="71" t="inlineStr">
        <is>
          <t>UIT1625 - Analysis and Design of Service Oriented Architecture</t>
        </is>
      </c>
    </row>
    <row r="139" ht="12.75" customHeight="1" s="55">
      <c r="A139" s="71" t="n">
        <v>129</v>
      </c>
      <c r="B139" s="71" t="n">
        <v>185002306</v>
      </c>
      <c r="C139" s="71" t="inlineStr">
        <is>
          <t>RAMAMOORTHY R</t>
        </is>
      </c>
      <c r="D139" s="71" t="inlineStr">
        <is>
          <t>UIT1625 - Analysis and Design of Service Oriented Architecture</t>
        </is>
      </c>
    </row>
    <row r="140" ht="12.75" customHeight="1" s="55">
      <c r="A140" s="71" t="n">
        <v>130</v>
      </c>
      <c r="B140" s="71" t="n">
        <v>185002307</v>
      </c>
      <c r="C140" s="71" t="inlineStr">
        <is>
          <t>Sajeethnihethan.v</t>
        </is>
      </c>
      <c r="D140" s="71" t="inlineStr">
        <is>
          <t>UIT1625 - Analysis and Design of Service Oriented Architecture</t>
        </is>
      </c>
    </row>
    <row r="141" ht="12.75" customHeight="1" s="55">
      <c r="A141" s="71" t="n">
        <v>131</v>
      </c>
      <c r="B141" s="71" t="n">
        <v>185002308</v>
      </c>
      <c r="C141" s="71" t="inlineStr">
        <is>
          <t>SHYAM SUNDAR PG</t>
        </is>
      </c>
      <c r="D141" s="71" t="inlineStr">
        <is>
          <t>UIT1625 - Analysis and Design of Service Oriented Architecture</t>
        </is>
      </c>
    </row>
    <row r="142" ht="12.75" customHeight="1" s="55">
      <c r="A142" s="71" t="n">
        <v>132</v>
      </c>
      <c r="B142" s="71" t="n">
        <v>185002309</v>
      </c>
      <c r="C142" s="71" t="inlineStr">
        <is>
          <t>Siva Ganesh N</t>
        </is>
      </c>
      <c r="D142" s="71" t="inlineStr">
        <is>
          <t>UIT1625 - Analysis and Design of Service Oriented Architecture</t>
        </is>
      </c>
    </row>
    <row r="143" ht="12.75" customHeight="1" s="55"/>
    <row r="144" ht="12.75" customHeight="1" s="55"/>
    <row r="145" ht="12.75" customHeight="1" s="55"/>
    <row r="146" ht="12.75" customHeight="1" s="55"/>
    <row r="147" ht="12.75" customHeight="1" s="55"/>
    <row r="148" ht="12.75" customHeight="1" s="55"/>
    <row r="149" ht="12.75" customHeight="1" s="55"/>
    <row r="150" ht="12.75" customHeight="1" s="55"/>
    <row r="151" ht="12.75" customHeight="1" s="55"/>
    <row r="152" ht="12.75" customHeight="1" s="55"/>
    <row r="153" ht="12.75" customHeight="1" s="55"/>
    <row r="154" ht="12.75" customHeight="1" s="55"/>
    <row r="155" ht="12.75" customHeight="1" s="55"/>
    <row r="156" ht="12.75" customHeight="1" s="55"/>
    <row r="157" ht="12.75" customHeight="1" s="55"/>
    <row r="158" ht="12.75" customHeight="1" s="55"/>
    <row r="159" ht="12.75" customHeight="1" s="55"/>
    <row r="160" ht="12.75" customHeight="1" s="55"/>
    <row r="161" ht="12.75" customHeight="1" s="55"/>
    <row r="162" ht="12.75" customHeight="1" s="55"/>
    <row r="163" ht="12.75" customHeight="1" s="55"/>
    <row r="164" ht="12.75" customHeight="1" s="55"/>
    <row r="165" ht="12.75" customHeight="1" s="55"/>
    <row r="166" ht="12.75" customHeight="1" s="55"/>
    <row r="167" ht="12.75" customHeight="1" s="55"/>
    <row r="168" ht="12.75" customHeight="1" s="55"/>
    <row r="169" ht="12.75" customHeight="1" s="55"/>
    <row r="170" ht="12.75" customHeight="1" s="55"/>
    <row r="171" ht="12.75" customHeight="1" s="55"/>
    <row r="172" ht="12.75" customHeight="1" s="55"/>
    <row r="173" ht="12.75" customHeight="1" s="55"/>
    <row r="174" ht="12.75" customHeight="1" s="55"/>
    <row r="175" ht="12.75" customHeight="1" s="55"/>
    <row r="176" ht="12.75" customHeight="1" s="55"/>
    <row r="177" ht="12.75" customHeight="1" s="55"/>
    <row r="178" ht="12.75" customHeight="1" s="55"/>
    <row r="179" ht="12.75" customHeight="1" s="55"/>
    <row r="180" ht="12.75" customHeight="1" s="55"/>
    <row r="181" ht="12.75" customHeight="1" s="55"/>
    <row r="182" ht="12.75" customHeight="1" s="55"/>
    <row r="183" ht="12.75" customHeight="1" s="55"/>
    <row r="184" ht="12.75" customHeight="1" s="55"/>
    <row r="185" ht="12.75" customHeight="1" s="55"/>
    <row r="186" ht="12.75" customHeight="1" s="55"/>
    <row r="187" ht="12.75" customHeight="1" s="55"/>
    <row r="188" ht="12.75" customHeight="1" s="55"/>
    <row r="189" ht="12.75" customHeight="1" s="55"/>
    <row r="190" ht="12.75" customHeight="1" s="55"/>
    <row r="191" ht="12.75" customHeight="1" s="55"/>
    <row r="192" ht="12.75" customHeight="1" s="55"/>
    <row r="193" ht="12.75" customHeight="1" s="55"/>
    <row r="194" ht="12.75" customHeight="1" s="55"/>
    <row r="195" ht="12.75" customHeight="1" s="55"/>
    <row r="196" ht="12.75" customHeight="1" s="55"/>
    <row r="197" ht="12.75" customHeight="1" s="55"/>
    <row r="198" ht="12.75" customHeight="1" s="55"/>
    <row r="199" ht="12.75" customHeight="1" s="55"/>
    <row r="200" ht="12.75" customHeight="1" s="55"/>
    <row r="201" ht="12.75" customHeight="1" s="55"/>
    <row r="202" ht="12.75" customHeight="1" s="55"/>
    <row r="203" ht="12.75" customHeight="1" s="55"/>
    <row r="204" ht="12.75" customHeight="1" s="55"/>
    <row r="205" ht="12.75" customHeight="1" s="55"/>
    <row r="206" ht="12.75" customHeight="1" s="55"/>
    <row r="207" ht="12.75" customHeight="1" s="55"/>
    <row r="208" ht="12.75" customHeight="1" s="55"/>
    <row r="209" ht="12.75" customHeight="1" s="55"/>
    <row r="210" ht="12.75" customHeight="1" s="55"/>
    <row r="211" ht="12.75" customHeight="1" s="55"/>
    <row r="212" ht="12.75" customHeight="1" s="55"/>
    <row r="213" ht="12.75" customHeight="1" s="55"/>
    <row r="214" ht="12.75" customHeight="1" s="55"/>
    <row r="215" ht="12.75" customHeight="1" s="55"/>
    <row r="216" ht="12.75" customHeight="1" s="55"/>
    <row r="217" ht="12.75" customHeight="1" s="55"/>
    <row r="218" ht="12.75" customHeight="1" s="55"/>
    <row r="219" ht="12.75" customHeight="1" s="55"/>
    <row r="220" ht="12.75" customHeight="1" s="55"/>
    <row r="221" ht="12.75" customHeight="1" s="55"/>
    <row r="222" ht="12.75" customHeight="1" s="55"/>
    <row r="223" ht="12.75" customHeight="1" s="55"/>
    <row r="224" ht="12.75" customHeight="1" s="55"/>
    <row r="225" ht="12.75" customHeight="1" s="55"/>
    <row r="226" ht="12.75" customHeight="1" s="55"/>
    <row r="227" ht="12.75" customHeight="1" s="55"/>
    <row r="228" ht="12.75" customHeight="1" s="55"/>
    <row r="229" ht="12.75" customHeight="1" s="55"/>
    <row r="230" ht="12.75" customHeight="1" s="55"/>
    <row r="231" ht="12.75" customHeight="1" s="55"/>
    <row r="232" ht="12.75" customHeight="1" s="55"/>
    <row r="233" ht="12.75" customHeight="1" s="55"/>
    <row r="234" ht="12.75" customHeight="1" s="55"/>
    <row r="235" ht="12.75" customHeight="1" s="55"/>
    <row r="236" ht="12.75" customHeight="1" s="55"/>
    <row r="237" ht="12.75" customHeight="1" s="55"/>
    <row r="238" ht="12.75" customHeight="1" s="55"/>
    <row r="239" ht="12.75" customHeight="1" s="55"/>
    <row r="240" ht="12.75" customHeight="1" s="55"/>
    <row r="241" ht="12.75" customHeight="1" s="55"/>
    <row r="242" ht="12.75" customHeight="1" s="55"/>
    <row r="243" ht="12.75" customHeight="1" s="55"/>
    <row r="244" ht="12.75" customHeight="1" s="55"/>
    <row r="245" ht="12.75" customHeight="1" s="55"/>
    <row r="246" ht="12.75" customHeight="1" s="55"/>
    <row r="247" ht="12.75" customHeight="1" s="55"/>
    <row r="248" ht="12.75" customHeight="1" s="55"/>
    <row r="249" ht="12.75" customHeight="1" s="55"/>
    <row r="250" ht="12.75" customHeight="1" s="55"/>
    <row r="251" ht="12.75" customHeight="1" s="55"/>
    <row r="252" ht="12.75" customHeight="1" s="55"/>
    <row r="253" ht="12.75" customHeight="1" s="55"/>
    <row r="254" ht="12.75" customHeight="1" s="55"/>
    <row r="255" ht="12.75" customHeight="1" s="55"/>
    <row r="256" ht="12.75" customHeight="1" s="55"/>
    <row r="257" ht="12.75" customHeight="1" s="55"/>
    <row r="258" ht="12.75" customHeight="1" s="55"/>
    <row r="259" ht="12.75" customHeight="1" s="55"/>
    <row r="260" ht="12.75" customHeight="1" s="55"/>
    <row r="261" ht="12.75" customHeight="1" s="55"/>
    <row r="262" ht="12.75" customHeight="1" s="55"/>
    <row r="263" ht="12.75" customHeight="1" s="55"/>
    <row r="264" ht="12.75" customHeight="1" s="55"/>
    <row r="265" ht="12.75" customHeight="1" s="55"/>
    <row r="266" ht="12.75" customHeight="1" s="55"/>
    <row r="267" ht="12.75" customHeight="1" s="55"/>
    <row r="268" ht="12.75" customHeight="1" s="55"/>
    <row r="269" ht="12.75" customHeight="1" s="55"/>
    <row r="270" ht="12.75" customHeight="1" s="55"/>
    <row r="271" ht="12.75" customHeight="1" s="55"/>
    <row r="272" ht="12.75" customHeight="1" s="55"/>
    <row r="273" ht="12.75" customHeight="1" s="55"/>
    <row r="274" ht="12.75" customHeight="1" s="55"/>
    <row r="275" ht="12.75" customHeight="1" s="55"/>
    <row r="276" ht="12.75" customHeight="1" s="55"/>
    <row r="277" ht="12.75" customHeight="1" s="55"/>
    <row r="278" ht="12.75" customHeight="1" s="55"/>
    <row r="279" ht="12.75" customHeight="1" s="55"/>
    <row r="280" ht="12.75" customHeight="1" s="55"/>
    <row r="281" ht="12.75" customHeight="1" s="55"/>
    <row r="282" ht="12.75" customHeight="1" s="55"/>
    <row r="283" ht="12.75" customHeight="1" s="55"/>
    <row r="284" ht="12.75" customHeight="1" s="55"/>
    <row r="285" ht="12.75" customHeight="1" s="55"/>
    <row r="286" ht="12.75" customHeight="1" s="55"/>
    <row r="287" ht="12.75" customHeight="1" s="55"/>
    <row r="288" ht="12.75" customHeight="1" s="55"/>
    <row r="289" ht="12.75" customHeight="1" s="55"/>
    <row r="290" ht="12.75" customHeight="1" s="55"/>
    <row r="291" ht="12.75" customHeight="1" s="55"/>
    <row r="292" ht="12.75" customHeight="1" s="55"/>
    <row r="293" ht="12.75" customHeight="1" s="55"/>
    <row r="294" ht="12.75" customHeight="1" s="55"/>
    <row r="295" ht="12.75" customHeight="1" s="55"/>
    <row r="296" ht="12.75" customHeight="1" s="55"/>
    <row r="297" ht="12.75" customHeight="1" s="55"/>
    <row r="298" ht="12.75" customHeight="1" s="55"/>
    <row r="299" ht="12.75" customHeight="1" s="55"/>
    <row r="300" ht="12.75" customHeight="1" s="55"/>
    <row r="301" ht="12.75" customHeight="1" s="55"/>
    <row r="302" ht="12.75" customHeight="1" s="55"/>
    <row r="303" ht="12.75" customHeight="1" s="55"/>
    <row r="304" ht="12.75" customHeight="1" s="55"/>
    <row r="305" ht="12.75" customHeight="1" s="55"/>
    <row r="306" ht="12.75" customHeight="1" s="55"/>
    <row r="307" ht="12.75" customHeight="1" s="55"/>
    <row r="308" ht="12.75" customHeight="1" s="55"/>
    <row r="309" ht="12.75" customHeight="1" s="55"/>
    <row r="310" ht="12.75" customHeight="1" s="55"/>
    <row r="311" ht="12.75" customHeight="1" s="55"/>
    <row r="312" ht="12.75" customHeight="1" s="55"/>
    <row r="313" ht="12.75" customHeight="1" s="55"/>
    <row r="314" ht="12.75" customHeight="1" s="55"/>
    <row r="315" ht="12.75" customHeight="1" s="55"/>
    <row r="316" ht="12.75" customHeight="1" s="55"/>
    <row r="317" ht="12.75" customHeight="1" s="55"/>
    <row r="318" ht="12.75" customHeight="1" s="55"/>
    <row r="319" ht="12.75" customHeight="1" s="55"/>
    <row r="320" ht="12.75" customHeight="1" s="55"/>
    <row r="321" ht="12.75" customHeight="1" s="55"/>
    <row r="322" ht="12.75" customHeight="1" s="55"/>
    <row r="323" ht="12.75" customHeight="1" s="55"/>
    <row r="324" ht="12.75" customHeight="1" s="55"/>
    <row r="325" ht="12.75" customHeight="1" s="55"/>
    <row r="326" ht="12.75" customHeight="1" s="55"/>
    <row r="327" ht="12.75" customHeight="1" s="55"/>
    <row r="328" ht="12.75" customHeight="1" s="55"/>
    <row r="329" ht="12.75" customHeight="1" s="55"/>
    <row r="330" ht="12.75" customHeight="1" s="55"/>
    <row r="331" ht="12.75" customHeight="1" s="55"/>
    <row r="332" ht="12.75" customHeight="1" s="55"/>
    <row r="333" ht="12.75" customHeight="1" s="55"/>
    <row r="334" ht="12.75" customHeight="1" s="55"/>
    <row r="335" ht="12.75" customHeight="1" s="55"/>
    <row r="336" ht="12.75" customHeight="1" s="55"/>
    <row r="337" ht="12.75" customHeight="1" s="55"/>
    <row r="338" ht="12.75" customHeight="1" s="55"/>
    <row r="339" ht="12.75" customHeight="1" s="55"/>
    <row r="340" ht="12.75" customHeight="1" s="55"/>
    <row r="341" ht="12.75" customHeight="1" s="55"/>
    <row r="342" ht="12.75" customHeight="1" s="55"/>
    <row r="343" ht="12.75" customHeight="1" s="55"/>
    <row r="344" ht="12.75" customHeight="1" s="55"/>
    <row r="345" ht="12.75" customHeight="1" s="55"/>
    <row r="346" ht="12.75" customHeight="1" s="55"/>
    <row r="347" ht="12.75" customHeight="1" s="55"/>
    <row r="348" ht="12.75" customHeight="1" s="55"/>
    <row r="349" ht="12.75" customHeight="1" s="55"/>
    <row r="350" ht="12.75" customHeight="1" s="55"/>
    <row r="351" ht="12.75" customHeight="1" s="55"/>
    <row r="352" ht="12.75" customHeight="1" s="55"/>
    <row r="353" ht="12.75" customHeight="1" s="55"/>
    <row r="354" ht="12.75" customHeight="1" s="55"/>
    <row r="355" ht="12.75" customHeight="1" s="55"/>
    <row r="356" ht="12.75" customHeight="1" s="55"/>
    <row r="357" ht="12.75" customHeight="1" s="55"/>
    <row r="358" ht="12.75" customHeight="1" s="55"/>
    <row r="359" ht="12.75" customHeight="1" s="55"/>
    <row r="360" ht="12.75" customHeight="1" s="55"/>
    <row r="361" ht="12.75" customHeight="1" s="55"/>
    <row r="362" ht="12.75" customHeight="1" s="55"/>
    <row r="363" ht="12.75" customHeight="1" s="55"/>
    <row r="364" ht="12.75" customHeight="1" s="55"/>
    <row r="365" ht="12.75" customHeight="1" s="55"/>
    <row r="366" ht="12.75" customHeight="1" s="55"/>
    <row r="367" ht="12.75" customHeight="1" s="55"/>
    <row r="368" ht="12.75" customHeight="1" s="55"/>
    <row r="369" ht="12.75" customHeight="1" s="55"/>
    <row r="370" ht="12.75" customHeight="1" s="55"/>
    <row r="371" ht="12.75" customHeight="1" s="55"/>
    <row r="372" ht="12.75" customHeight="1" s="55"/>
    <row r="373" ht="12.75" customHeight="1" s="55"/>
    <row r="374" ht="12.75" customHeight="1" s="55"/>
    <row r="375" ht="12.75" customHeight="1" s="55"/>
    <row r="376" ht="12.75" customHeight="1" s="55"/>
    <row r="377" ht="12.75" customHeight="1" s="55"/>
    <row r="378" ht="12.75" customHeight="1" s="55"/>
    <row r="379" ht="12.75" customHeight="1" s="55"/>
    <row r="380" ht="12.75" customHeight="1" s="55"/>
    <row r="381" ht="12.75" customHeight="1" s="55"/>
    <row r="382" ht="12.75" customHeight="1" s="55"/>
    <row r="383" ht="12.75" customHeight="1" s="55"/>
    <row r="384" ht="12.75" customHeight="1" s="55"/>
    <row r="385" ht="12.75" customHeight="1" s="55"/>
    <row r="386" ht="12.75" customHeight="1" s="55"/>
    <row r="387" ht="12.75" customHeight="1" s="55"/>
    <row r="388" ht="12.75" customHeight="1" s="55"/>
    <row r="389" ht="12.75" customHeight="1" s="55"/>
    <row r="390" ht="12.75" customHeight="1" s="55"/>
    <row r="391" ht="12.75" customHeight="1" s="55"/>
    <row r="392" ht="12.75" customHeight="1" s="55"/>
    <row r="393" ht="12.75" customHeight="1" s="55"/>
    <row r="394" ht="12.75" customHeight="1" s="55"/>
    <row r="395" ht="12.75" customHeight="1" s="55"/>
    <row r="396" ht="12.75" customHeight="1" s="55"/>
    <row r="397" ht="12.75" customHeight="1" s="55"/>
    <row r="398" ht="12.75" customHeight="1" s="55"/>
    <row r="399" ht="12.75" customHeight="1" s="55"/>
    <row r="400" ht="12.75" customHeight="1" s="55"/>
    <row r="401" ht="12.75" customHeight="1" s="55"/>
    <row r="402" ht="12.75" customHeight="1" s="55"/>
    <row r="403" ht="12.75" customHeight="1" s="55"/>
    <row r="404" ht="12.75" customHeight="1" s="55"/>
    <row r="405" ht="12.75" customHeight="1" s="55"/>
    <row r="406" ht="12.75" customHeight="1" s="55"/>
    <row r="407" ht="12.75" customHeight="1" s="55"/>
    <row r="408" ht="12.75" customHeight="1" s="55"/>
    <row r="409" ht="12.75" customHeight="1" s="55"/>
    <row r="410" ht="12.75" customHeight="1" s="55"/>
    <row r="411" ht="12.75" customHeight="1" s="55"/>
    <row r="412" ht="12.75" customHeight="1" s="55"/>
    <row r="413" ht="12.75" customHeight="1" s="55"/>
    <row r="414" ht="12.75" customHeight="1" s="55"/>
    <row r="415" ht="12.75" customHeight="1" s="55"/>
    <row r="416" ht="12.75" customHeight="1" s="55"/>
    <row r="417" ht="12.75" customHeight="1" s="55"/>
    <row r="418" ht="12.75" customHeight="1" s="55"/>
    <row r="419" ht="12.75" customHeight="1" s="55"/>
    <row r="420" ht="12.75" customHeight="1" s="55"/>
    <row r="421" ht="12.75" customHeight="1" s="55"/>
    <row r="422" ht="12.75" customHeight="1" s="55"/>
    <row r="423" ht="12.75" customHeight="1" s="55"/>
    <row r="424" ht="12.75" customHeight="1" s="55"/>
    <row r="425" ht="12.75" customHeight="1" s="55"/>
    <row r="426" ht="12.75" customHeight="1" s="55"/>
    <row r="427" ht="12.75" customHeight="1" s="55"/>
    <row r="428" ht="12.75" customHeight="1" s="55"/>
    <row r="429" ht="12.75" customHeight="1" s="55"/>
    <row r="430" ht="12.75" customHeight="1" s="55"/>
    <row r="431" ht="12.75" customHeight="1" s="55"/>
    <row r="432" ht="12.75" customHeight="1" s="55"/>
    <row r="433" ht="12.75" customHeight="1" s="55"/>
    <row r="434" ht="12.75" customHeight="1" s="55"/>
    <row r="435" ht="12.75" customHeight="1" s="55"/>
    <row r="436" ht="12.75" customHeight="1" s="55"/>
    <row r="437" ht="12.75" customHeight="1" s="55"/>
    <row r="438" ht="12.75" customHeight="1" s="55"/>
    <row r="439" ht="12.75" customHeight="1" s="55"/>
    <row r="440" ht="12.75" customHeight="1" s="55"/>
    <row r="441" ht="12.75" customHeight="1" s="55"/>
    <row r="442" ht="12.75" customHeight="1" s="55"/>
    <row r="443" ht="12.75" customHeight="1" s="55"/>
    <row r="444" ht="12.75" customHeight="1" s="55"/>
    <row r="445" ht="12.75" customHeight="1" s="55"/>
    <row r="446" ht="12.75" customHeight="1" s="55"/>
    <row r="447" ht="12.75" customHeight="1" s="55"/>
    <row r="448" ht="12.75" customHeight="1" s="55"/>
    <row r="449" ht="12.75" customHeight="1" s="55"/>
    <row r="450" ht="12.75" customHeight="1" s="55"/>
    <row r="451" ht="12.75" customHeight="1" s="55"/>
    <row r="452" ht="12.75" customHeight="1" s="55"/>
    <row r="453" ht="12.75" customHeight="1" s="55"/>
    <row r="454" ht="12.75" customHeight="1" s="55"/>
    <row r="455" ht="12.75" customHeight="1" s="55"/>
    <row r="456" ht="12.75" customHeight="1" s="55"/>
    <row r="457" ht="12.75" customHeight="1" s="55"/>
    <row r="458" ht="12.75" customHeight="1" s="55"/>
    <row r="459" ht="12.75" customHeight="1" s="55"/>
    <row r="460" ht="12.75" customHeight="1" s="55"/>
    <row r="461" ht="12.75" customHeight="1" s="55"/>
    <row r="462" ht="12.75" customHeight="1" s="55"/>
    <row r="463" ht="12.75" customHeight="1" s="55"/>
    <row r="464" ht="12.75" customHeight="1" s="55"/>
    <row r="465" ht="12.75" customHeight="1" s="55"/>
    <row r="466" ht="12.75" customHeight="1" s="55"/>
    <row r="467" ht="12.75" customHeight="1" s="55"/>
    <row r="468" ht="12.75" customHeight="1" s="55"/>
    <row r="469" ht="12.75" customHeight="1" s="55"/>
    <row r="470" ht="12.75" customHeight="1" s="55"/>
    <row r="471" ht="12.75" customHeight="1" s="55"/>
    <row r="472" ht="12.75" customHeight="1" s="55"/>
    <row r="473" ht="12.75" customHeight="1" s="55"/>
    <row r="474" ht="12.75" customHeight="1" s="55"/>
    <row r="475" ht="12.75" customHeight="1" s="55"/>
    <row r="476" ht="12.75" customHeight="1" s="55"/>
    <row r="477" ht="12.75" customHeight="1" s="55"/>
    <row r="478" ht="12.75" customHeight="1" s="55"/>
    <row r="479" ht="12.75" customHeight="1" s="55"/>
    <row r="480" ht="12.75" customHeight="1" s="55"/>
    <row r="481" ht="12.75" customHeight="1" s="55"/>
    <row r="482" ht="12.75" customHeight="1" s="55"/>
    <row r="483" ht="12.75" customHeight="1" s="55"/>
    <row r="484" ht="12.75" customHeight="1" s="55"/>
    <row r="485" ht="12.75" customHeight="1" s="55"/>
    <row r="486" ht="12.75" customHeight="1" s="55"/>
    <row r="487" ht="12.75" customHeight="1" s="55"/>
    <row r="488" ht="12.75" customHeight="1" s="55"/>
    <row r="489" ht="12.75" customHeight="1" s="55"/>
    <row r="490" ht="12.75" customHeight="1" s="55"/>
    <row r="491" ht="12.75" customHeight="1" s="55"/>
    <row r="492" ht="12.75" customHeight="1" s="55"/>
    <row r="493" ht="12.75" customHeight="1" s="55"/>
    <row r="494" ht="12.75" customHeight="1" s="55"/>
    <row r="495" ht="12.75" customHeight="1" s="55"/>
    <row r="496" ht="12.75" customHeight="1" s="55"/>
    <row r="497" ht="12.75" customHeight="1" s="55"/>
    <row r="498" ht="12.75" customHeight="1" s="55"/>
    <row r="499" ht="12.75" customHeight="1" s="55"/>
    <row r="500" ht="12.75" customHeight="1" s="55"/>
    <row r="501" ht="12.75" customHeight="1" s="55"/>
    <row r="502" ht="12.75" customHeight="1" s="55"/>
    <row r="503" ht="12.75" customHeight="1" s="55"/>
    <row r="504" ht="12.75" customHeight="1" s="55"/>
    <row r="505" ht="12.75" customHeight="1" s="55"/>
    <row r="506" ht="12.75" customHeight="1" s="55"/>
    <row r="507" ht="12.75" customHeight="1" s="55"/>
    <row r="508" ht="12.75" customHeight="1" s="55"/>
    <row r="509" ht="12.75" customHeight="1" s="55"/>
    <row r="510" ht="12.75" customHeight="1" s="55"/>
    <row r="511" ht="12.75" customHeight="1" s="55"/>
    <row r="512" ht="12.75" customHeight="1" s="55"/>
    <row r="513" ht="12.75" customHeight="1" s="55"/>
    <row r="514" ht="12.75" customHeight="1" s="55"/>
    <row r="515" ht="12.75" customHeight="1" s="55"/>
    <row r="516" ht="12.75" customHeight="1" s="55"/>
    <row r="517" ht="12.75" customHeight="1" s="55"/>
    <row r="518" ht="12.75" customHeight="1" s="55"/>
    <row r="519" ht="12.75" customHeight="1" s="55"/>
    <row r="520" ht="12.75" customHeight="1" s="55"/>
    <row r="521" ht="12.75" customHeight="1" s="55"/>
    <row r="522" ht="12.75" customHeight="1" s="55"/>
    <row r="523" ht="12.75" customHeight="1" s="55"/>
    <row r="524" ht="12.75" customHeight="1" s="55"/>
    <row r="525" ht="12.75" customHeight="1" s="55"/>
    <row r="526" ht="12.75" customHeight="1" s="55"/>
    <row r="527" ht="12.75" customHeight="1" s="55"/>
    <row r="528" ht="12.75" customHeight="1" s="55"/>
    <row r="529" ht="12.75" customHeight="1" s="55"/>
    <row r="530" ht="12.75" customHeight="1" s="55"/>
    <row r="531" ht="12.75" customHeight="1" s="55"/>
    <row r="532" ht="12.75" customHeight="1" s="55"/>
    <row r="533" ht="12.75" customHeight="1" s="55"/>
    <row r="534" ht="12.75" customHeight="1" s="55"/>
    <row r="535" ht="12.75" customHeight="1" s="55"/>
    <row r="536" ht="12.75" customHeight="1" s="55"/>
    <row r="537" ht="12.75" customHeight="1" s="55"/>
    <row r="538" ht="12.75" customHeight="1" s="55"/>
    <row r="539" ht="12.75" customHeight="1" s="55"/>
    <row r="540" ht="12.75" customHeight="1" s="55"/>
    <row r="541" ht="12.75" customHeight="1" s="55"/>
    <row r="542" ht="12.75" customHeight="1" s="55"/>
    <row r="543" ht="12.75" customHeight="1" s="55"/>
    <row r="544" ht="12.75" customHeight="1" s="55"/>
    <row r="545" ht="12.75" customHeight="1" s="55"/>
    <row r="546" ht="12.75" customHeight="1" s="55"/>
    <row r="547" ht="12.75" customHeight="1" s="55"/>
    <row r="548" ht="12.75" customHeight="1" s="55"/>
    <row r="549" ht="12.75" customHeight="1" s="55"/>
    <row r="550" ht="12.75" customHeight="1" s="55"/>
    <row r="551" ht="12.75" customHeight="1" s="55"/>
    <row r="552" ht="12.75" customHeight="1" s="55"/>
    <row r="553" ht="12.75" customHeight="1" s="55"/>
    <row r="554" ht="12.75" customHeight="1" s="55"/>
    <row r="555" ht="12.75" customHeight="1" s="55"/>
    <row r="556" ht="12.75" customHeight="1" s="55"/>
    <row r="557" ht="12.75" customHeight="1" s="55"/>
    <row r="558" ht="12.75" customHeight="1" s="55"/>
    <row r="559" ht="12.75" customHeight="1" s="55"/>
    <row r="560" ht="12.75" customHeight="1" s="55"/>
    <row r="561" ht="12.75" customHeight="1" s="55"/>
    <row r="562" ht="12.75" customHeight="1" s="55"/>
    <row r="563" ht="12.75" customHeight="1" s="55"/>
    <row r="564" ht="12.75" customHeight="1" s="55"/>
    <row r="565" ht="12.75" customHeight="1" s="55"/>
    <row r="566" ht="12.75" customHeight="1" s="55"/>
    <row r="567" ht="12.75" customHeight="1" s="55"/>
    <row r="568" ht="12.75" customHeight="1" s="55"/>
    <row r="569" ht="12.75" customHeight="1" s="55"/>
    <row r="570" ht="12.75" customHeight="1" s="55"/>
    <row r="571" ht="12.75" customHeight="1" s="55"/>
    <row r="572" ht="12.75" customHeight="1" s="55"/>
    <row r="573" ht="12.75" customHeight="1" s="55"/>
    <row r="574" ht="12.75" customHeight="1" s="55"/>
    <row r="575" ht="12.75" customHeight="1" s="55"/>
    <row r="576" ht="12.75" customHeight="1" s="55"/>
    <row r="577" ht="12.75" customHeight="1" s="55"/>
    <row r="578" ht="12.75" customHeight="1" s="55"/>
    <row r="579" ht="12.75" customHeight="1" s="55"/>
    <row r="580" ht="12.75" customHeight="1" s="55"/>
    <row r="581" ht="12.75" customHeight="1" s="55"/>
    <row r="582" ht="12.75" customHeight="1" s="55"/>
    <row r="583" ht="12.75" customHeight="1" s="55"/>
    <row r="584" ht="12.75" customHeight="1" s="55"/>
    <row r="585" ht="12.75" customHeight="1" s="55"/>
    <row r="586" ht="12.75" customHeight="1" s="55"/>
    <row r="587" ht="12.75" customHeight="1" s="55"/>
    <row r="588" ht="12.75" customHeight="1" s="55"/>
    <row r="589" ht="12.75" customHeight="1" s="55"/>
    <row r="590" ht="12.75" customHeight="1" s="55"/>
    <row r="591" ht="12.75" customHeight="1" s="55"/>
    <row r="592" ht="12.75" customHeight="1" s="55"/>
    <row r="593" ht="12.75" customHeight="1" s="55"/>
    <row r="594" ht="12.75" customHeight="1" s="55"/>
    <row r="595" ht="12.75" customHeight="1" s="55"/>
    <row r="596" ht="12.75" customHeight="1" s="55"/>
    <row r="597" ht="12.75" customHeight="1" s="55"/>
    <row r="598" ht="12.75" customHeight="1" s="55"/>
    <row r="599" ht="12.75" customHeight="1" s="55"/>
    <row r="600" ht="12.75" customHeight="1" s="55"/>
    <row r="601" ht="12.75" customHeight="1" s="55"/>
    <row r="602" ht="12.75" customHeight="1" s="55"/>
    <row r="603" ht="12.75" customHeight="1" s="55"/>
    <row r="604" ht="12.75" customHeight="1" s="55"/>
    <row r="605" ht="12.75" customHeight="1" s="55"/>
    <row r="606" ht="12.75" customHeight="1" s="55"/>
    <row r="607" ht="12.75" customHeight="1" s="55"/>
    <row r="608" ht="12.75" customHeight="1" s="55"/>
    <row r="609" ht="12.75" customHeight="1" s="55"/>
    <row r="610" ht="12.75" customHeight="1" s="55"/>
    <row r="611" ht="12.75" customHeight="1" s="55"/>
    <row r="612" ht="12.75" customHeight="1" s="55"/>
    <row r="613" ht="12.75" customHeight="1" s="55"/>
    <row r="614" ht="12.75" customHeight="1" s="55"/>
    <row r="615" ht="12.75" customHeight="1" s="55"/>
    <row r="616" ht="12.75" customHeight="1" s="55"/>
    <row r="617" ht="12.75" customHeight="1" s="55"/>
    <row r="618" ht="12.75" customHeight="1" s="55"/>
    <row r="619" ht="12.75" customHeight="1" s="55"/>
    <row r="620" ht="12.75" customHeight="1" s="55"/>
    <row r="621" ht="12.75" customHeight="1" s="55"/>
    <row r="622" ht="12.75" customHeight="1" s="55"/>
    <row r="623" ht="12.75" customHeight="1" s="55"/>
    <row r="624" ht="12.75" customHeight="1" s="55"/>
    <row r="625" ht="12.75" customHeight="1" s="55"/>
    <row r="626" ht="12.75" customHeight="1" s="55"/>
    <row r="627" ht="12.75" customHeight="1" s="55"/>
    <row r="628" ht="12.75" customHeight="1" s="55"/>
    <row r="629" ht="12.75" customHeight="1" s="55"/>
    <row r="630" ht="12.75" customHeight="1" s="55"/>
    <row r="631" ht="12.75" customHeight="1" s="55"/>
    <row r="632" ht="12.75" customHeight="1" s="55"/>
    <row r="633" ht="12.75" customHeight="1" s="55"/>
    <row r="634" ht="12.75" customHeight="1" s="55"/>
    <row r="635" ht="12.75" customHeight="1" s="55"/>
    <row r="636" ht="12.75" customHeight="1" s="55"/>
    <row r="637" ht="12.75" customHeight="1" s="55"/>
    <row r="638" ht="12.75" customHeight="1" s="55"/>
    <row r="639" ht="12.75" customHeight="1" s="55"/>
    <row r="640" ht="12.75" customHeight="1" s="55"/>
    <row r="641" ht="12.75" customHeight="1" s="55"/>
    <row r="642" ht="12.75" customHeight="1" s="55"/>
    <row r="643" ht="12.75" customHeight="1" s="55"/>
    <row r="644" ht="12.75" customHeight="1" s="55"/>
    <row r="645" ht="12.75" customHeight="1" s="55"/>
    <row r="646" ht="12.75" customHeight="1" s="55"/>
    <row r="647" ht="12.75" customHeight="1" s="55"/>
    <row r="648" ht="12.75" customHeight="1" s="55"/>
    <row r="649" ht="12.75" customHeight="1" s="55"/>
    <row r="650" ht="12.75" customHeight="1" s="55"/>
    <row r="651" ht="12.75" customHeight="1" s="55"/>
    <row r="652" ht="12.75" customHeight="1" s="55"/>
    <row r="653" ht="12.75" customHeight="1" s="55"/>
    <row r="654" ht="12.75" customHeight="1" s="55"/>
    <row r="655" ht="12.75" customHeight="1" s="55"/>
    <row r="656" ht="12.75" customHeight="1" s="55"/>
    <row r="657" ht="12.75" customHeight="1" s="55"/>
    <row r="658" ht="12.75" customHeight="1" s="55"/>
    <row r="659" ht="12.75" customHeight="1" s="55"/>
    <row r="660" ht="12.75" customHeight="1" s="55"/>
    <row r="661" ht="12.75" customHeight="1" s="55"/>
    <row r="662" ht="12.75" customHeight="1" s="55"/>
    <row r="663" ht="12.75" customHeight="1" s="55"/>
    <row r="664" ht="12.75" customHeight="1" s="55"/>
    <row r="665" ht="12.75" customHeight="1" s="55"/>
    <row r="666" ht="12.75" customHeight="1" s="55"/>
    <row r="667" ht="12.75" customHeight="1" s="55"/>
    <row r="668" ht="12.75" customHeight="1" s="55"/>
    <row r="669" ht="12.75" customHeight="1" s="55"/>
    <row r="670" ht="12.75" customHeight="1" s="55"/>
    <row r="671" ht="12.75" customHeight="1" s="55"/>
    <row r="672" ht="12.75" customHeight="1" s="55"/>
    <row r="673" ht="12.75" customHeight="1" s="55"/>
    <row r="674" ht="12.75" customHeight="1" s="55"/>
    <row r="675" ht="12.75" customHeight="1" s="55"/>
    <row r="676" ht="12.75" customHeight="1" s="55"/>
    <row r="677" ht="12.75" customHeight="1" s="55"/>
    <row r="678" ht="12.75" customHeight="1" s="55"/>
    <row r="679" ht="12.75" customHeight="1" s="55"/>
    <row r="680" ht="12.75" customHeight="1" s="55"/>
    <row r="681" ht="12.75" customHeight="1" s="55"/>
    <row r="682" ht="12.75" customHeight="1" s="55"/>
    <row r="683" ht="12.75" customHeight="1" s="55"/>
    <row r="684" ht="12.75" customHeight="1" s="55"/>
    <row r="685" ht="12.75" customHeight="1" s="55"/>
    <row r="686" ht="12.75" customHeight="1" s="55"/>
    <row r="687" ht="12.75" customHeight="1" s="55"/>
    <row r="688" ht="12.75" customHeight="1" s="55"/>
    <row r="689" ht="12.75" customHeight="1" s="55"/>
    <row r="690" ht="12.75" customHeight="1" s="55"/>
    <row r="691" ht="12.75" customHeight="1" s="55"/>
    <row r="692" ht="12.75" customHeight="1" s="55"/>
    <row r="693" ht="12.75" customHeight="1" s="55"/>
    <row r="694" ht="12.75" customHeight="1" s="55"/>
    <row r="695" ht="12.75" customHeight="1" s="55"/>
    <row r="696" ht="12.75" customHeight="1" s="55"/>
    <row r="697" ht="12.75" customHeight="1" s="55"/>
    <row r="698" ht="12.75" customHeight="1" s="55"/>
    <row r="699" ht="12.75" customHeight="1" s="55"/>
    <row r="700" ht="12.75" customHeight="1" s="55"/>
    <row r="701" ht="12.75" customHeight="1" s="55"/>
    <row r="702" ht="12.75" customHeight="1" s="55"/>
    <row r="703" ht="12.75" customHeight="1" s="55"/>
    <row r="704" ht="12.75" customHeight="1" s="55"/>
    <row r="705" ht="12.75" customHeight="1" s="55"/>
    <row r="706" ht="12.75" customHeight="1" s="55"/>
    <row r="707" ht="12.75" customHeight="1" s="55"/>
    <row r="708" ht="12.75" customHeight="1" s="55"/>
    <row r="709" ht="12.75" customHeight="1" s="55"/>
    <row r="710" ht="12.75" customHeight="1" s="55"/>
    <row r="711" ht="12.75" customHeight="1" s="55"/>
    <row r="712" ht="12.75" customHeight="1" s="55"/>
    <row r="713" ht="12.75" customHeight="1" s="55"/>
    <row r="714" ht="12.75" customHeight="1" s="55"/>
    <row r="715" ht="12.75" customHeight="1" s="55"/>
    <row r="716" ht="12.75" customHeight="1" s="55"/>
    <row r="717" ht="12.75" customHeight="1" s="55"/>
    <row r="718" ht="12.75" customHeight="1" s="55"/>
    <row r="719" ht="12.75" customHeight="1" s="55"/>
    <row r="720" ht="12.75" customHeight="1" s="55"/>
    <row r="721" ht="12.75" customHeight="1" s="55"/>
    <row r="722" ht="12.75" customHeight="1" s="55"/>
    <row r="723" ht="12.75" customHeight="1" s="55"/>
    <row r="724" ht="12.75" customHeight="1" s="55"/>
    <row r="725" ht="12.75" customHeight="1" s="55"/>
    <row r="726" ht="12.75" customHeight="1" s="55"/>
    <row r="727" ht="12.75" customHeight="1" s="55"/>
    <row r="728" ht="12.75" customHeight="1" s="55"/>
    <row r="729" ht="12.75" customHeight="1" s="55"/>
    <row r="730" ht="12.75" customHeight="1" s="55"/>
    <row r="731" ht="12.75" customHeight="1" s="55"/>
    <row r="732" ht="12.75" customHeight="1" s="55"/>
    <row r="733" ht="12.75" customHeight="1" s="55"/>
    <row r="734" ht="12.75" customHeight="1" s="55"/>
    <row r="735" ht="12.75" customHeight="1" s="55"/>
    <row r="736" ht="12.75" customHeight="1" s="55"/>
    <row r="737" ht="12.75" customHeight="1" s="55"/>
    <row r="738" ht="12.75" customHeight="1" s="55"/>
    <row r="739" ht="12.75" customHeight="1" s="55"/>
    <row r="740" ht="12.75" customHeight="1" s="55"/>
    <row r="741" ht="12.75" customHeight="1" s="55"/>
    <row r="742" ht="12.75" customHeight="1" s="55"/>
    <row r="743" ht="12.75" customHeight="1" s="55"/>
    <row r="744" ht="12.75" customHeight="1" s="55"/>
    <row r="745" ht="12.75" customHeight="1" s="55"/>
    <row r="746" ht="12.75" customHeight="1" s="55"/>
    <row r="747" ht="12.75" customHeight="1" s="55"/>
    <row r="748" ht="12.75" customHeight="1" s="55"/>
    <row r="749" ht="12.75" customHeight="1" s="55"/>
    <row r="750" ht="12.75" customHeight="1" s="55"/>
    <row r="751" ht="12.75" customHeight="1" s="55"/>
    <row r="752" ht="12.75" customHeight="1" s="55"/>
    <row r="753" ht="12.75" customHeight="1" s="55"/>
    <row r="754" ht="12.75" customHeight="1" s="55"/>
    <row r="755" ht="12.75" customHeight="1" s="55"/>
    <row r="756" ht="12.75" customHeight="1" s="55"/>
    <row r="757" ht="12.75" customHeight="1" s="55"/>
    <row r="758" ht="12.75" customHeight="1" s="55"/>
    <row r="759" ht="12.75" customHeight="1" s="55"/>
    <row r="760" ht="12.75" customHeight="1" s="55"/>
    <row r="761" ht="12.75" customHeight="1" s="55"/>
    <row r="762" ht="12.75" customHeight="1" s="55"/>
    <row r="763" ht="12.75" customHeight="1" s="55"/>
    <row r="764" ht="12.75" customHeight="1" s="55"/>
    <row r="765" ht="12.75" customHeight="1" s="55"/>
    <row r="766" ht="12.75" customHeight="1" s="55"/>
    <row r="767" ht="12.75" customHeight="1" s="55"/>
    <row r="768" ht="12.75" customHeight="1" s="55"/>
    <row r="769" ht="12.75" customHeight="1" s="55"/>
    <row r="770" ht="12.75" customHeight="1" s="55"/>
    <row r="771" ht="12.75" customHeight="1" s="55"/>
    <row r="772" ht="12.75" customHeight="1" s="55"/>
    <row r="773" ht="12.75" customHeight="1" s="55"/>
    <row r="774" ht="12.75" customHeight="1" s="55"/>
    <row r="775" ht="12.75" customHeight="1" s="55"/>
    <row r="776" ht="12.75" customHeight="1" s="55"/>
    <row r="777" ht="12.75" customHeight="1" s="55"/>
    <row r="778" ht="12.75" customHeight="1" s="55"/>
    <row r="779" ht="12.75" customHeight="1" s="55"/>
    <row r="780" ht="12.75" customHeight="1" s="55"/>
    <row r="781" ht="12.75" customHeight="1" s="55"/>
    <row r="782" ht="12.75" customHeight="1" s="55"/>
    <row r="783" ht="12.75" customHeight="1" s="55"/>
    <row r="784" ht="12.75" customHeight="1" s="55"/>
    <row r="785" ht="12.75" customHeight="1" s="55"/>
    <row r="786" ht="12.75" customHeight="1" s="55"/>
    <row r="787" ht="12.75" customHeight="1" s="55"/>
    <row r="788" ht="12.75" customHeight="1" s="55"/>
    <row r="789" ht="12.75" customHeight="1" s="55"/>
    <row r="790" ht="12.75" customHeight="1" s="55"/>
    <row r="791" ht="12.75" customHeight="1" s="55"/>
    <row r="792" ht="12.75" customHeight="1" s="55"/>
    <row r="793" ht="12.75" customHeight="1" s="55"/>
    <row r="794" ht="12.75" customHeight="1" s="55"/>
    <row r="795" ht="12.75" customHeight="1" s="55"/>
    <row r="796" ht="12.75" customHeight="1" s="55"/>
    <row r="797" ht="12.75" customHeight="1" s="55"/>
    <row r="798" ht="12.75" customHeight="1" s="55"/>
    <row r="799" ht="12.75" customHeight="1" s="55"/>
    <row r="800" ht="12.75" customHeight="1" s="55"/>
    <row r="801" ht="12.75" customHeight="1" s="55"/>
    <row r="802" ht="12.75" customHeight="1" s="55"/>
    <row r="803" ht="12.75" customHeight="1" s="55"/>
    <row r="804" ht="12.75" customHeight="1" s="55"/>
    <row r="805" ht="12.75" customHeight="1" s="55"/>
    <row r="806" ht="12.75" customHeight="1" s="55"/>
    <row r="807" ht="12.75" customHeight="1" s="55"/>
    <row r="808" ht="12.75" customHeight="1" s="55"/>
    <row r="809" ht="12.75" customHeight="1" s="55"/>
    <row r="810" ht="12.75" customHeight="1" s="55"/>
    <row r="811" ht="12.75" customHeight="1" s="55"/>
    <row r="812" ht="12.75" customHeight="1" s="55"/>
    <row r="813" ht="12.75" customHeight="1" s="55"/>
    <row r="814" ht="12.75" customHeight="1" s="55"/>
    <row r="815" ht="12.75" customHeight="1" s="55"/>
    <row r="816" ht="12.75" customHeight="1" s="55"/>
    <row r="817" ht="12.75" customHeight="1" s="55"/>
    <row r="818" ht="12.75" customHeight="1" s="55"/>
    <row r="819" ht="12.75" customHeight="1" s="55"/>
    <row r="820" ht="12.75" customHeight="1" s="55"/>
    <row r="821" ht="12.75" customHeight="1" s="55"/>
    <row r="822" ht="12.75" customHeight="1" s="55"/>
    <row r="823" ht="12.75" customHeight="1" s="55"/>
    <row r="824" ht="12.75" customHeight="1" s="55"/>
    <row r="825" ht="12.75" customHeight="1" s="55"/>
    <row r="826" ht="12.75" customHeight="1" s="55"/>
    <row r="827" ht="12.75" customHeight="1" s="55"/>
    <row r="828" ht="12.75" customHeight="1" s="55"/>
    <row r="829" ht="12.75" customHeight="1" s="55"/>
    <row r="830" ht="12.75" customHeight="1" s="55"/>
    <row r="831" ht="12.75" customHeight="1" s="55"/>
    <row r="832" ht="12.75" customHeight="1" s="55"/>
    <row r="833" ht="12.75" customHeight="1" s="55"/>
    <row r="834" ht="12.75" customHeight="1" s="55"/>
    <row r="835" ht="12.75" customHeight="1" s="55"/>
    <row r="836" ht="12.75" customHeight="1" s="55"/>
    <row r="837" ht="12.75" customHeight="1" s="55"/>
    <row r="838" ht="12.75" customHeight="1" s="55"/>
    <row r="839" ht="12.75" customHeight="1" s="55"/>
    <row r="840" ht="12.75" customHeight="1" s="55"/>
    <row r="841" ht="12.75" customHeight="1" s="55"/>
    <row r="842" ht="12.75" customHeight="1" s="55"/>
    <row r="843" ht="12.75" customHeight="1" s="55"/>
    <row r="844" ht="12.75" customHeight="1" s="55"/>
    <row r="845" ht="12.75" customHeight="1" s="55"/>
    <row r="846" ht="12.75" customHeight="1" s="55"/>
    <row r="847" ht="12.75" customHeight="1" s="55"/>
    <row r="848" ht="12.75" customHeight="1" s="55"/>
    <row r="849" ht="12.75" customHeight="1" s="55"/>
    <row r="850" ht="12.75" customHeight="1" s="55"/>
    <row r="851" ht="12.75" customHeight="1" s="55"/>
    <row r="852" ht="12.75" customHeight="1" s="55"/>
    <row r="853" ht="12.75" customHeight="1" s="55"/>
    <row r="854" ht="12.75" customHeight="1" s="55"/>
    <row r="855" ht="12.75" customHeight="1" s="55"/>
    <row r="856" ht="12.75" customHeight="1" s="55"/>
    <row r="857" ht="12.75" customHeight="1" s="55"/>
    <row r="858" ht="12.75" customHeight="1" s="55"/>
    <row r="859" ht="12.75" customHeight="1" s="55"/>
    <row r="860" ht="12.75" customHeight="1" s="55"/>
    <row r="861" ht="12.75" customHeight="1" s="55"/>
    <row r="862" ht="12.75" customHeight="1" s="55"/>
    <row r="863" ht="12.75" customHeight="1" s="55"/>
    <row r="864" ht="12.75" customHeight="1" s="55"/>
    <row r="865" ht="12.75" customHeight="1" s="55"/>
    <row r="866" ht="12.75" customHeight="1" s="55"/>
    <row r="867" ht="12.75" customHeight="1" s="55"/>
    <row r="868" ht="12.75" customHeight="1" s="55"/>
    <row r="869" ht="12.75" customHeight="1" s="55"/>
    <row r="870" ht="12.75" customHeight="1" s="55"/>
    <row r="871" ht="12.75" customHeight="1" s="55"/>
    <row r="872" ht="12.75" customHeight="1" s="55"/>
    <row r="873" ht="12.75" customHeight="1" s="55"/>
    <row r="874" ht="12.75" customHeight="1" s="55"/>
    <row r="875" ht="12.75" customHeight="1" s="55"/>
    <row r="876" ht="12.75" customHeight="1" s="55"/>
    <row r="877" ht="12.75" customHeight="1" s="55"/>
    <row r="878" ht="12.75" customHeight="1" s="55"/>
    <row r="879" ht="12.75" customHeight="1" s="55"/>
    <row r="880" ht="12.75" customHeight="1" s="55"/>
    <row r="881" ht="12.75" customHeight="1" s="55"/>
    <row r="882" ht="12.75" customHeight="1" s="55"/>
    <row r="883" ht="12.75" customHeight="1" s="55"/>
    <row r="884" ht="12.75" customHeight="1" s="55"/>
    <row r="885" ht="12.75" customHeight="1" s="55"/>
    <row r="886" ht="12.75" customHeight="1" s="55"/>
    <row r="887" ht="12.75" customHeight="1" s="55"/>
    <row r="888" ht="12.75" customHeight="1" s="55"/>
    <row r="889" ht="12.75" customHeight="1" s="55"/>
    <row r="890" ht="12.75" customHeight="1" s="55"/>
    <row r="891" ht="12.75" customHeight="1" s="55"/>
    <row r="892" ht="12.75" customHeight="1" s="55"/>
    <row r="893" ht="12.75" customHeight="1" s="55"/>
    <row r="894" ht="12.75" customHeight="1" s="55"/>
    <row r="895" ht="12.75" customHeight="1" s="55"/>
    <row r="896" ht="12.75" customHeight="1" s="55"/>
    <row r="897" ht="12.75" customHeight="1" s="55"/>
    <row r="898" ht="12.75" customHeight="1" s="55"/>
    <row r="899" ht="12.75" customHeight="1" s="55"/>
    <row r="900" ht="12.75" customHeight="1" s="55"/>
    <row r="901" ht="12.75" customHeight="1" s="55"/>
    <row r="902" ht="12.75" customHeight="1" s="55"/>
    <row r="903" ht="12.75" customHeight="1" s="55"/>
    <row r="904" ht="12.75" customHeight="1" s="55"/>
    <row r="905" ht="12.75" customHeight="1" s="55"/>
    <row r="906" ht="12.75" customHeight="1" s="55"/>
    <row r="907" ht="12.75" customHeight="1" s="55"/>
    <row r="908" ht="12.75" customHeight="1" s="55"/>
    <row r="909" ht="12.75" customHeight="1" s="55"/>
    <row r="910" ht="12.75" customHeight="1" s="55"/>
    <row r="911" ht="12.75" customHeight="1" s="55"/>
    <row r="912" ht="12.75" customHeight="1" s="55"/>
    <row r="913" ht="12.75" customHeight="1" s="55"/>
    <row r="914" ht="12.75" customHeight="1" s="55"/>
    <row r="915" ht="12.75" customHeight="1" s="55"/>
    <row r="916" ht="12.75" customHeight="1" s="55"/>
    <row r="917" ht="12.75" customHeight="1" s="55"/>
    <row r="918" ht="12.75" customHeight="1" s="55"/>
    <row r="919" ht="12.75" customHeight="1" s="55"/>
    <row r="920" ht="12.75" customHeight="1" s="55"/>
    <row r="921" ht="12.75" customHeight="1" s="55"/>
    <row r="922" ht="12.75" customHeight="1" s="55"/>
    <row r="923" ht="12.75" customHeight="1" s="55"/>
    <row r="924" ht="12.75" customHeight="1" s="55"/>
    <row r="925" ht="12.75" customHeight="1" s="55"/>
    <row r="926" ht="12.75" customHeight="1" s="55"/>
    <row r="927" ht="12.75" customHeight="1" s="55"/>
    <row r="928" ht="12.75" customHeight="1" s="55"/>
    <row r="929" ht="12.75" customHeight="1" s="55"/>
    <row r="930" ht="12.75" customHeight="1" s="55"/>
    <row r="931" ht="12.75" customHeight="1" s="55"/>
    <row r="932" ht="12.75" customHeight="1" s="55"/>
    <row r="933" ht="12.75" customHeight="1" s="55"/>
    <row r="934" ht="12.75" customHeight="1" s="55"/>
    <row r="935" ht="12.75" customHeight="1" s="55"/>
    <row r="936" ht="12.75" customHeight="1" s="55"/>
    <row r="937" ht="12.75" customHeight="1" s="55"/>
    <row r="938" ht="12.75" customHeight="1" s="55"/>
    <row r="939" ht="12.75" customHeight="1" s="55"/>
    <row r="940" ht="12.75" customHeight="1" s="55"/>
    <row r="941" ht="12.75" customHeight="1" s="55"/>
    <row r="942" ht="12.75" customHeight="1" s="55"/>
    <row r="943" ht="12.75" customHeight="1" s="55"/>
    <row r="944" ht="12.75" customHeight="1" s="55"/>
    <row r="945" ht="12.75" customHeight="1" s="55"/>
    <row r="946" ht="12.75" customHeight="1" s="55"/>
    <row r="947" ht="12.75" customHeight="1" s="55"/>
    <row r="948" ht="12.75" customHeight="1" s="55"/>
    <row r="949" ht="12.75" customHeight="1" s="55"/>
    <row r="950" ht="12.75" customHeight="1" s="55"/>
    <row r="951" ht="12.75" customHeight="1" s="55"/>
    <row r="952" ht="12.75" customHeight="1" s="55"/>
    <row r="953" ht="12.75" customHeight="1" s="55"/>
    <row r="954" ht="12.75" customHeight="1" s="55"/>
    <row r="955" ht="12.75" customHeight="1" s="55"/>
    <row r="956" ht="12.75" customHeight="1" s="55"/>
    <row r="957" ht="12.75" customHeight="1" s="55"/>
    <row r="958" ht="12.75" customHeight="1" s="55"/>
    <row r="959" ht="12.75" customHeight="1" s="55"/>
    <row r="960" ht="12.75" customHeight="1" s="55"/>
    <row r="961" ht="12.75" customHeight="1" s="55"/>
    <row r="962" ht="12.75" customHeight="1" s="55"/>
    <row r="963" ht="12.75" customHeight="1" s="55"/>
    <row r="964" ht="12.75" customHeight="1" s="55"/>
    <row r="965" ht="12.75" customHeight="1" s="55"/>
    <row r="966" ht="12.75" customHeight="1" s="55"/>
    <row r="967" ht="12.75" customHeight="1" s="55"/>
    <row r="968" ht="12.75" customHeight="1" s="55"/>
    <row r="969" ht="12.75" customHeight="1" s="55"/>
    <row r="970" ht="12.75" customHeight="1" s="55"/>
    <row r="971" ht="12.75" customHeight="1" s="55"/>
    <row r="972" ht="12.75" customHeight="1" s="55"/>
    <row r="973" ht="12.75" customHeight="1" s="55"/>
    <row r="974" ht="12.75" customHeight="1" s="55"/>
    <row r="975" ht="12.75" customHeight="1" s="55"/>
    <row r="976" ht="12.75" customHeight="1" s="55"/>
    <row r="977" ht="12.75" customHeight="1" s="55"/>
    <row r="978" ht="12.75" customHeight="1" s="55"/>
    <row r="979" ht="12.75" customHeight="1" s="55"/>
    <row r="980" ht="12.75" customHeight="1" s="55"/>
    <row r="981" ht="12.75" customHeight="1" s="55"/>
    <row r="982" ht="12.75" customHeight="1" s="55"/>
    <row r="983" ht="12.75" customHeight="1" s="55"/>
    <row r="984" ht="12.75" customHeight="1" s="55"/>
    <row r="985" ht="12.75" customHeight="1" s="55"/>
    <row r="986" ht="12.75" customHeight="1" s="55"/>
    <row r="987" ht="12.75" customHeight="1" s="55"/>
    <row r="988" ht="12.75" customHeight="1" s="55"/>
    <row r="989" ht="12.75" customHeight="1" s="55"/>
    <row r="990" ht="12.75" customHeight="1" s="55"/>
    <row r="991" ht="12.75" customHeight="1" s="55"/>
    <row r="992" ht="12.75" customHeight="1" s="55"/>
    <row r="993" ht="12.75" customHeight="1" s="55"/>
    <row r="994" ht="12.75" customHeight="1" s="55"/>
    <row r="995" ht="12.75" customHeight="1" s="55"/>
    <row r="996" ht="12.75" customHeight="1" s="55"/>
    <row r="997" ht="12.75" customHeight="1" s="55"/>
    <row r="998" ht="12.75" customHeight="1" s="55"/>
    <row r="999" ht="12.75" customHeight="1" s="55"/>
    <row r="1000" ht="12.75" customHeight="1" s="55"/>
  </sheetData>
  <mergeCells count="3">
    <mergeCell ref="A1:D1"/>
    <mergeCell ref="A3:D3"/>
    <mergeCell ref="A2:D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GOPALAKRISHNAN</dc:creator>
  <dc:language>en-US</dc:language>
  <dcterms:created xsi:type="dcterms:W3CDTF">2011-06-06T02:47:18Z</dcterms:created>
  <dcterms:modified xsi:type="dcterms:W3CDTF">2026-09-23T08:11:43Z</dcterms:modified>
  <cp:revision>1</cp:revision>
</cp:coreProperties>
</file>